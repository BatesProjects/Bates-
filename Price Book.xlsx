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tesprojects-my.sharepoint.com/personal/wilsonbates_batesprojects_onmicrosoft_com/Documents/"/>
    </mc:Choice>
  </mc:AlternateContent>
  <xr:revisionPtr revIDLastSave="51" documentId="8_{E0D75405-CAB2-B24E-BB18-E12C308EFAA7}" xr6:coauthVersionLast="47" xr6:coauthVersionMax="47" xr10:uidLastSave="{75C027A1-2CE2-3B41-8C2C-DC58E28A1E2E}"/>
  <bookViews>
    <workbookView xWindow="1480" yWindow="1760" windowWidth="27240" windowHeight="15760" xr2:uid="{D11FB681-55A5-DE48-A66B-364F48510098}"/>
  </bookViews>
  <sheets>
    <sheet name="Quote" sheetId="1" r:id="rId1"/>
    <sheet name="Price Change Log" sheetId="2" r:id="rId2"/>
    <sheet name="Instructions" sheetId="3" r:id="rId3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1" l="1"/>
  <c r="F33" i="1"/>
  <c r="F11" i="1"/>
  <c r="F12" i="1"/>
  <c r="F13" i="1"/>
  <c r="F14" i="1"/>
  <c r="F15" i="1"/>
  <c r="F16" i="1"/>
  <c r="F17" i="1"/>
  <c r="F18" i="1"/>
  <c r="F19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4" i="1"/>
  <c r="F133" i="1"/>
  <c r="F132" i="1"/>
  <c r="F131" i="1"/>
  <c r="F130" i="1"/>
  <c r="F129" i="1"/>
  <c r="F128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6" i="1"/>
  <c r="F105" i="1"/>
  <c r="F104" i="1"/>
  <c r="F103" i="1"/>
  <c r="F102" i="1"/>
  <c r="F101" i="1"/>
  <c r="F100" i="1"/>
  <c r="F99" i="1"/>
  <c r="F97" i="1"/>
  <c r="F96" i="1"/>
  <c r="F95" i="1"/>
  <c r="F94" i="1"/>
  <c r="F93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7" i="1"/>
  <c r="F66" i="1"/>
  <c r="F65" i="1"/>
  <c r="F64" i="1"/>
  <c r="F63" i="1"/>
  <c r="F62" i="1"/>
  <c r="F61" i="1"/>
  <c r="F60" i="1"/>
  <c r="F58" i="1"/>
  <c r="F57" i="1"/>
  <c r="F56" i="1"/>
  <c r="F55" i="1"/>
  <c r="F54" i="1"/>
  <c r="F53" i="1"/>
  <c r="F52" i="1"/>
  <c r="F50" i="1"/>
  <c r="F47" i="1"/>
  <c r="F46" i="1"/>
  <c r="F45" i="1"/>
  <c r="F44" i="1"/>
  <c r="F43" i="1"/>
  <c r="F42" i="1"/>
  <c r="F40" i="1"/>
  <c r="F39" i="1"/>
  <c r="F38" i="1"/>
  <c r="F37" i="1"/>
  <c r="F36" i="1"/>
  <c r="F34" i="1"/>
  <c r="F32" i="1"/>
  <c r="F31" i="1"/>
  <c r="F30" i="1"/>
  <c r="F29" i="1"/>
  <c r="F28" i="1"/>
  <c r="F27" i="1"/>
  <c r="F26" i="1"/>
  <c r="F25" i="1"/>
  <c r="F24" i="1"/>
  <c r="F23" i="1"/>
  <c r="F22" i="1"/>
  <c r="F21" i="1"/>
  <c r="F10" i="1"/>
  <c r="F135" i="1" l="1"/>
  <c r="F165" i="1" s="1"/>
  <c r="F162" i="1"/>
  <c r="F166" i="1" s="1"/>
  <c r="F167" i="1" l="1"/>
  <c r="F168" i="1" s="1"/>
  <c r="F169" i="1" s="1"/>
  <c r="F170" i="1" s="1"/>
  <c r="F171" i="1" s="1"/>
</calcChain>
</file>

<file path=xl/sharedStrings.xml><?xml version="1.0" encoding="utf-8"?>
<sst xmlns="http://schemas.openxmlformats.org/spreadsheetml/2006/main" count="407" uniqueCount="283">
  <si>
    <t>BATES PROJECTS — CONSTRUCTION QUOTE</t>
  </si>
  <si>
    <t>Job Name / Address:</t>
  </si>
  <si>
    <t>Client:</t>
  </si>
  <si>
    <t>Date:</t>
  </si>
  <si>
    <t>Prepared by:</t>
  </si>
  <si>
    <t>MATERIALS</t>
  </si>
  <si>
    <t>Item Description</t>
  </si>
  <si>
    <t>Bunnings Product URL</t>
  </si>
  <si>
    <t>Unit</t>
  </si>
  <si>
    <t>Qty</t>
  </si>
  <si>
    <t>Unit Price ($)</t>
  </si>
  <si>
    <t>Total ($)</t>
  </si>
  <si>
    <t>Last Price Check</t>
  </si>
  <si>
    <t>── FRAMING TIMBER ──</t>
  </si>
  <si>
    <t>── SHEET MATERIAL ──</t>
  </si>
  <si>
    <t>── JAMES HARDIE CLADDING ──</t>
  </si>
  <si>
    <t>── DECORATIVE TIMBER (JOINERY) ──</t>
  </si>
  <si>
    <t>── ADHESIVES &amp; SEALANTS ──</t>
  </si>
  <si>
    <t>── CEMENT &amp; BAGGED PRODUCTS ──</t>
  </si>
  <si>
    <t>── WATERPROOFING &amp; MEMBRANE ──</t>
  </si>
  <si>
    <t>── INSULATION ──</t>
  </si>
  <si>
    <t>── FIXINGS &amp; FASTENERS ──</t>
  </si>
  <si>
    <t>── ALUMINIUM ANGLES &amp; EXTRUSIONS ──</t>
  </si>
  <si>
    <t>── SUNDRIES ──</t>
  </si>
  <si>
    <t>90×45 MGP10 Pine</t>
  </si>
  <si>
    <t>lm</t>
  </si>
  <si>
    <t>190×45 MGP10 Pine</t>
  </si>
  <si>
    <t>240×45 MGP10 Pine</t>
  </si>
  <si>
    <t>70×35 MGP10 Pine (noggins)</t>
  </si>
  <si>
    <t>45×45 Pine (battens)</t>
  </si>
  <si>
    <t>Gyprock 10mm Plasterboard 1200×2400</t>
  </si>
  <si>
    <t>sheet</t>
  </si>
  <si>
    <t>Gyprock 13mm Plasterboard 1200×2400</t>
  </si>
  <si>
    <t>Gyprock 10mm Moisture Resistant 1200×2400</t>
  </si>
  <si>
    <t>Gyprock 13mm Moisture Resistant 1200×2400</t>
  </si>
  <si>
    <t>6mm Plywood 1200×2400</t>
  </si>
  <si>
    <t>9mm Plywood 1200×2400</t>
  </si>
  <si>
    <t>12mm Plywood 1200×2400</t>
  </si>
  <si>
    <t>17mm Plywood 1200×2400</t>
  </si>
  <si>
    <t>19mm Plywood 1200×2400</t>
  </si>
  <si>
    <t>Shadowclad 9mm 1200×2400</t>
  </si>
  <si>
    <t>HardieFlex 6mm 1200×2400</t>
  </si>
  <si>
    <t>HardiePlank 230mm</t>
  </si>
  <si>
    <t>Scyon Axon Cladding 133mm</t>
  </si>
  <si>
    <t>Scyon Linea Weatherboard</t>
  </si>
  <si>
    <t>67×18 Pine DAR Architrave</t>
  </si>
  <si>
    <t>90×18 Pine DAR Skirting</t>
  </si>
  <si>
    <t>67×18 Pine DAR Skirting</t>
  </si>
  <si>
    <t>140×19 Pine DAR Fascia</t>
  </si>
  <si>
    <t>Liquid Nails Heavy Duty 320ml</t>
  </si>
  <si>
    <t>tube</t>
  </si>
  <si>
    <t>Liquid Nails Subfloor 320ml</t>
  </si>
  <si>
    <t>Sikaflex 11FC 300ml</t>
  </si>
  <si>
    <t>Sikaflex 291 300ml (weatherproof)</t>
  </si>
  <si>
    <t>No More Gaps 450g</t>
  </si>
  <si>
    <t>Selleys Roof &amp; Gutter Silicone</t>
  </si>
  <si>
    <t>Gorilla Construction Adhesive</t>
  </si>
  <si>
    <t>Boral Cement 20kg</t>
  </si>
  <si>
    <t>bag</t>
  </si>
  <si>
    <t>Boral Cement 40kg</t>
  </si>
  <si>
    <t>Quickset 20kg</t>
  </si>
  <si>
    <t>Sand/Cement Render 20kg</t>
  </si>
  <si>
    <t>Brickies Mortar 20kg</t>
  </si>
  <si>
    <t>Rapid Set 20kg</t>
  </si>
  <si>
    <t>Corrosion Resistant Post Mix 20kg</t>
  </si>
  <si>
    <t>Ardex 8+9 Two Part Waterproofing 15kg Kit</t>
  </si>
  <si>
    <t>kit</t>
  </si>
  <si>
    <t>Ardex 8+9 Two Part Waterproofing 30kg Kit</t>
  </si>
  <si>
    <t>Gripset Brite 10L</t>
  </si>
  <si>
    <t>unit</t>
  </si>
  <si>
    <t>Gripset Brite 20L</t>
  </si>
  <si>
    <t>Gripset 2PB Two Part 15kg</t>
  </si>
  <si>
    <t>Laticrete Hydro Ban 3.78L</t>
  </si>
  <si>
    <t>Laticrete Hydro Ban 18.9L</t>
  </si>
  <si>
    <t>Parex Waterproof Membrane 15L</t>
  </si>
  <si>
    <t>Sika Topseal 10L</t>
  </si>
  <si>
    <t>Mapei Mapelastic 32kg Kit</t>
  </si>
  <si>
    <t>Polyethylene Sheet 200 Micron</t>
  </si>
  <si>
    <t>roll</t>
  </si>
  <si>
    <t>Shower Base Former</t>
  </si>
  <si>
    <t>Pre-Formed Shower Hob</t>
  </si>
  <si>
    <t>Floor Waste Drain</t>
  </si>
  <si>
    <t>Linear Drain 600mm</t>
  </si>
  <si>
    <t>Linear Drain 900mm</t>
  </si>
  <si>
    <t>Wet Area Backing Board 6mm</t>
  </si>
  <si>
    <t>Wet Area Backing Board 9mm</t>
  </si>
  <si>
    <t>Sisalation 570</t>
  </si>
  <si>
    <t>Enviroseal ProctorWrap</t>
  </si>
  <si>
    <t>Aluminised Sarking</t>
  </si>
  <si>
    <t>Lead Flashing 150mm</t>
  </si>
  <si>
    <t>Colorbond Z Flashing</t>
  </si>
  <si>
    <t>pack</t>
  </si>
  <si>
    <t>Bradford Anticon Roof Blanket</t>
  </si>
  <si>
    <t>75mm Framing Nails (bulk)</t>
  </si>
  <si>
    <t>box</t>
  </si>
  <si>
    <t>Decking Screws 65mm</t>
  </si>
  <si>
    <t>M10 Bolts/Nuts/Washers</t>
  </si>
  <si>
    <t>30mm Joist Hanger Nails</t>
  </si>
  <si>
    <t>Coach Screws 10×100</t>
  </si>
  <si>
    <t>25×25×1.6mm Aluminium Angle</t>
  </si>
  <si>
    <t>25×25×3mm Aluminium Angle</t>
  </si>
  <si>
    <t>40×40×3mm Aluminium Angle</t>
  </si>
  <si>
    <t>50×50×3mm Aluminium Angle</t>
  </si>
  <si>
    <t>75×75×3mm Aluminium Angle</t>
  </si>
  <si>
    <t>25×3mm Aluminium Flat Bar</t>
  </si>
  <si>
    <t>50×3mm Aluminium Flat Bar</t>
  </si>
  <si>
    <t>25×25mm Aluminium Square Tube</t>
  </si>
  <si>
    <t>50×50mm Aluminium Square Tube</t>
  </si>
  <si>
    <t>75×25mm Aluminium Rectangle Tube</t>
  </si>
  <si>
    <t>Aluminium Threshold Trim</t>
  </si>
  <si>
    <t>Aluminium Tile Trim Square Edge 10mm</t>
  </si>
  <si>
    <t>Aluminium Tile Trim Square Edge 12mm</t>
  </si>
  <si>
    <t>Aluminium Tile Trim Round Edge 10mm</t>
  </si>
  <si>
    <t>Aluminium Shadow Line 10mm</t>
  </si>
  <si>
    <t>Aluminium Shadow Line 15mm</t>
  </si>
  <si>
    <t>Aluminium Corner Trim</t>
  </si>
  <si>
    <t>Aluminium Expansion Joint 10mm</t>
  </si>
  <si>
    <t>Corrosion Resistant Tie-Down Strap</t>
  </si>
  <si>
    <t>Timber Connector Plates</t>
  </si>
  <si>
    <t>Joist Hangers</t>
  </si>
  <si>
    <t>DPC Damp Proof Course 200mm</t>
  </si>
  <si>
    <t>90mm PVC Angle Bead</t>
  </si>
  <si>
    <t>Fibreglass Mesh Tape 50mm</t>
  </si>
  <si>
    <t>Corner Bead</t>
  </si>
  <si>
    <t>MATERIALS SUBTOTAL</t>
  </si>
  <si>
    <t>TRADES / SUBCONTRACTORS</t>
  </si>
  <si>
    <t>Trade / Description</t>
  </si>
  <si>
    <t>Subcontractor Name</t>
  </si>
  <si>
    <t>Rate Type</t>
  </si>
  <si>
    <t>Rate ($)</t>
  </si>
  <si>
    <t>Notes</t>
  </si>
  <si>
    <t>Demolition</t>
  </si>
  <si>
    <t>Day rate</t>
  </si>
  <si>
    <t>Earthworks / Excavation</t>
  </si>
  <si>
    <t>Concrete / Formwork</t>
  </si>
  <si>
    <t>m²</t>
  </si>
  <si>
    <t>Bricklaying / Blockwork</t>
  </si>
  <si>
    <t>Carpentry — Framing</t>
  </si>
  <si>
    <t>Carpentry — Fix Out</t>
  </si>
  <si>
    <t>Roofing</t>
  </si>
  <si>
    <t>Plumbing — Rough In</t>
  </si>
  <si>
    <t>Lump sum</t>
  </si>
  <si>
    <t>Plumbing — Fit Off</t>
  </si>
  <si>
    <t>Electrical — Rough In</t>
  </si>
  <si>
    <t>Electrical — Fit Off</t>
  </si>
  <si>
    <t>Waterproofing</t>
  </si>
  <si>
    <t>Tiling</t>
  </si>
  <si>
    <t>Plastering / Rendering</t>
  </si>
  <si>
    <t>Painting — Internal</t>
  </si>
  <si>
    <t>Painting — External</t>
  </si>
  <si>
    <t>Insulation</t>
  </si>
  <si>
    <t>Flooring</t>
  </si>
  <si>
    <t>Glazing / Windows</t>
  </si>
  <si>
    <t>Cabinetry / Joinery</t>
  </si>
  <si>
    <t>Landscaping</t>
  </si>
  <si>
    <t>Scaffold</t>
  </si>
  <si>
    <t>Week</t>
  </si>
  <si>
    <t>Skip Bin / Waste</t>
  </si>
  <si>
    <t>Each</t>
  </si>
  <si>
    <t>TRADES SUBTOTAL</t>
  </si>
  <si>
    <t>SUMMARY</t>
  </si>
  <si>
    <t>Materials Subtotal</t>
  </si>
  <si>
    <t>Trades Subtotal</t>
  </si>
  <si>
    <t>TOTAL COST (ex GST)</t>
  </si>
  <si>
    <t>Markup (20%)</t>
  </si>
  <si>
    <t>QUOTED PRICE (ex GST)</t>
  </si>
  <si>
    <t>GST (10%)</t>
  </si>
  <si>
    <t>TOTAL INC GST</t>
  </si>
  <si>
    <t>Date Checked</t>
  </si>
  <si>
    <t>Old Price ($)</t>
  </si>
  <si>
    <t>New Price ($)</t>
  </si>
  <si>
    <t>Change ($)</t>
  </si>
  <si>
    <t>Change (%)</t>
  </si>
  <si>
    <t>Status</t>
  </si>
  <si>
    <t>HOW TO USE THIS QUOTING TOOL</t>
  </si>
  <si>
    <t>QUOTING TAB</t>
  </si>
  <si>
    <t>1. Fill in Job Name, Client, Date, and Prepared By at the top.</t>
  </si>
  <si>
    <t>2. MATERIALS SECTION — for each item you need:</t>
  </si>
  <si>
    <t xml:space="preserve">   • Paste the Bunnings product URL into Column B</t>
  </si>
  <si>
    <t xml:space="preserve">   • Enter the quantity in Column D</t>
  </si>
  <si>
    <t xml:space="preserve">   • Enter the current unit price in Column E (Column F calculates the total automatically)</t>
  </si>
  <si>
    <t xml:space="preserve">   • Column G will be filled automatically when you run the price checker script</t>
  </si>
  <si>
    <t>3. TRADES SECTION — for each trade:</t>
  </si>
  <si>
    <t xml:space="preserve">   • Enter the subcontractor name in Column B</t>
  </si>
  <si>
    <t xml:space="preserve">   • Adjust the Rate Type in Column C if needed (hourly/day rate/m²/lump sum)</t>
  </si>
  <si>
    <t xml:space="preserve">   • Enter quantity in Column D and rate in Column E</t>
  </si>
  <si>
    <t xml:space="preserve">   • Add any notes in Column G (e.g. quote reference number, inclusions)</t>
  </si>
  <si>
    <t>4. SUMMARY — automatically calculates cost, 20% markup, and GST. This is your quoted price.</t>
  </si>
  <si>
    <t>PRICE CHECKER SCRIPT</t>
  </si>
  <si>
    <t>Run the Python script (check_prices.py) to automatically:</t>
  </si>
  <si>
    <t xml:space="preserve">   • Visit every Bunnings URL in Column B of the Materials section</t>
  </si>
  <si>
    <t xml:space="preserve">   • Compare the live price to what you have in Column E</t>
  </si>
  <si>
    <t xml:space="preserve">   • Highlight rows in YELLOW where prices have changed</t>
  </si>
  <si>
    <t xml:space="preserve">   • Highlight rows in RED where the URL could not be accessed</t>
  </si>
  <si>
    <t xml:space="preserve">   • Log all changes in the Price Change Log tab</t>
  </si>
  <si>
    <t xml:space="preserve">   • Update Column G with today's date so you know when it was last checked</t>
  </si>
  <si>
    <t>The script is set to run automatically every 2 weeks. You can also run it manually anytime.</t>
  </si>
  <si>
    <t>TIPS</t>
  </si>
  <si>
    <t>• If Bunnings doesn't stock something, leave the URL blank and update the price manually.</t>
  </si>
  <si>
    <t>• For trade supplier prices (not on Bunnings), just enter the price directly — no URL needed.</t>
  </si>
  <si>
    <t>• The markup is set to 20%. To change it, go to the Summary section and update the formula in F (Markup row).</t>
  </si>
  <si>
    <t>• Add rows as needed — just copy an existing row down to keep the formatting and formulas.</t>
  </si>
  <si>
    <t>90 x 45 H3</t>
  </si>
  <si>
    <t>90x35 MGP10</t>
  </si>
  <si>
    <t>140×45 H3</t>
  </si>
  <si>
    <t>https://www.bunnings.com.au/90-x-45mm-framing-mgp10-h2-blue-pine-2-4m_p8031022?store=8211&amp;gclsrc=aw.ds&amp;gad_source=1&amp;gad_campaignid=21122993677&amp;gbraid=0AAAAADtbEB_xoLiC62--S2oi9SW57qlTR&amp;gclid=CjwKCAjwtIfPBhAzEiwAv9RTJihMLLY-fZeIXaqXU8xO3vZ-GJg_dlZG_RHpjqwn31qVLSD1upkW3hoCmIQQAvD_BwE</t>
  </si>
  <si>
    <t>https://www.bunnings.com.au/90-x-45mm-outdoor-framing-h3-treated-pine-3-0m_p8032174?store=8129&amp;gclsrc=aw.ds&amp;gad_source=1&amp;gad_campaignid=21122993677&amp;gbraid=0AAAAADtbEB_xoLiC62--S2oi9SW57qlTR&amp;gclid=CjwKCAjwtIfPBhAzEiwAv9RTJo_memEjwaheipt8MIA_eKw9cIQadSSqvpu20INYMKwjnT0yMrD_ABoCtn0QAvD_BwE</t>
  </si>
  <si>
    <t>https://www.bunnings.com.au/90-x-35mm-framing-mgp10-h2-blue-pine-6-0m_p8031011?store=8129&amp;gclsrc=aw.ds&amp;gad_source=1&amp;gad_campaignid=21122993677&amp;gbraid=0AAAAADtbEB_xoLiC62--S2oi9SW57qlTR&amp;gclid=CjwKCAjwtIfPBhAzEiwAv9RTJvK06AKI8ctcDpxMv_OFe6-5k5Te-YTwpu6OWhCAiBtgCRCtlcS3QhoCy8UQAvD_BwE</t>
  </si>
  <si>
    <t>90x35 H3</t>
  </si>
  <si>
    <t>https://www.bunnings.com.au/90-x-35mm-outdoor-framing-h3-treated-pine-2-4m_p8032149?store=8129&amp;gclsrc=aw.ds&amp;gad_source=1&amp;gad_campaignid=21122993677&amp;gbraid=0AAAAADtbEB_xoLiC62--S2oi9SW57qlTR&amp;gclid=CjwKCAjwtIfPBhAzEiwAv9RTJiMsesVSGtqtQLBpVonOB7doYWkH1j73CSvpuaSlpCety_keHzJ7WBoCAY4QAvD_BwE</t>
  </si>
  <si>
    <t>https://www.bunnings.com.au/140-x-45mm-outdoor-framing-h3-treated-pine-4-8m_p8032272?store=8129&amp;gclsrc=aw.ds&amp;gad_source=1&amp;gad_campaignid=21122993677&amp;gbraid=0AAAAADtbEB_xoLiC62--S2oi9SW57qlTR&amp;gclid=CjwKCAjwtIfPBhAzEiwAv9RTJgUvc9SOVzyr72-Yvpfrk5O1juavEUFvib67ypMBqgB42lYJud5PERoCv7EQAvD_BwE</t>
  </si>
  <si>
    <t>https://www.bunnings.com.au/190-x-45mm-outdoor-framing-h3-treated-pine-5-4m_p8032320?store=8172&amp;gclsrc=aw.ds&amp;gad_source=1&amp;gad_campaignid=21122993677&amp;gbraid=0AAAAADtbEB_xoLiC62--S2oi9SW57qlTR&amp;gclid=CjwKCAjwtIfPBhAzEiwAv9RTJjaSzhCL5O1Wqg7q5IhFIWgulBKRcbNAS9kLe_TWsfDyFXo0yf_tdxoCGCMQAvD_BwE</t>
  </si>
  <si>
    <t>https://www.bunnings.com.au/240-x-45mm-outdoor-framing-h3-treated-pine-5-4m_p8032343?store=8172&amp;gclsrc=aw.ds&amp;gad_source=1&amp;gad_campaignid=21122993677&amp;gbraid=0AAAAADtbEB_xoLiC62--S2oi9SW57qlTR&amp;gclid=CjwKCAjwtIfPBhAzEiwAv9RTJiw9_tnUm6LCon1_N1HOIMGWN8UbKB61FhLJo1Ft28-pJe1eqIsw4RoCsVUQAvD_BwE</t>
  </si>
  <si>
    <t>70x35 H3</t>
  </si>
  <si>
    <t>https://www.bunnings.com.au/70-x-35mm-outdoor-framing-h3-treated-pine-5-4m_p8032113?store=8129&amp;gclsrc=aw.ds&amp;gad_source=1&amp;gad_campaignid=21122993677&amp;gbraid=0AAAAADtbEB_xoLiC62--S2oi9SW57qlTR&amp;gclid=CjwKCAjwtIfPBhAzEiwAv9RTJlLwC3man0RKb8ybdeQ0Ykz7CN0zrU0Mu2AwhyGu4nwIYslkym7vVxoCUbcQAvD_BwE</t>
  </si>
  <si>
    <t>https://www.bunnings.com.au/70-x-35mm-framing-mgp10-h2-blue-pine-3-0m_p8030955?store=8140&amp;gclsrc=aw.ds&amp;gad_source=1&amp;gad_campaignid=21122993677&amp;gbraid=0AAAAADtbEB_xoLiC62--S2oi9SW57qlTR&amp;gclid=CjwKCAjwtIfPBhAzEiwAv9RTJpwiVaRrbf2h04wCV6zYf1JWpE_ZtGJDJfrF2IaRjqiwo5-DPamGbhoCJVQQAvD_BwE</t>
  </si>
  <si>
    <t>https://www.bunnings.com.au/gyprock-csr-2400-x-1200-x-10mm-2-88sqm-plasterboard-re_p0731415?store=8129&amp;gclsrc=aw.ds&amp;gad_source=1&amp;gad_campaignid=21122993677&amp;gbraid=0AAAAADtbEB_xoLiC62--S2oi9SW57qlTR&amp;gclid=CjwKCAjwtIfPBhAzEiwAv9RTJgyIIYU2qCiboc9558dRKLT6CpbQHBS-Xf2rDkKhweUNcfsY8L8XeRoCN3cQAvD_BwE</t>
  </si>
  <si>
    <t>https://www.bunnings.com.au/gyprock-csr-2400-x-1200-x-13mm-2-88sqm-plasterboard-re_p0730273?store=8172&amp;gclsrc=aw.ds&amp;gad_source=1&amp;gad_campaignid=21122993677&amp;gbraid=0AAAAADtbEB_xoLiC62--S2oi9SW57qlTR&amp;gclid=CjwKCAjwtIfPBhAzEiwAv9RTJjMcFG-AU-R9LvH8isb9m7TF-4MwrMUO_Z28xzVKRLXqowWxlXBdIBoCLMEQAvD_BwE</t>
  </si>
  <si>
    <t>https://www.bunnings.com.au/gyprock-csr-2400-x-1200-x-10mm-2-88sqm-aquachek-plasterboard-re_p0730710?store=8172&amp;gclsrc=aw.ds&amp;gad_source=1&amp;gad_campaignid=21122993677&amp;gbraid=0AAAAADtbEB_xoLiC62--S2oi9SW57qlTR&amp;gclid=CjwKCAjwtIfPBhAzEiwAv9RTJkIYJdPPJ6iG6GY5Rn_7gbRv-j_3zAbWGaU0li5-fnhPvD8uNqSUMBoCR_UQAvD_BwE</t>
  </si>
  <si>
    <t>https://www.bunnings.com.au/james-hardie-hardieflex-2400-x-1200-x-6mm-cladding-2-88m-2400-x-1200-x-6_p0711095?store=8129&amp;gclsrc=aw.ds&amp;gad_source=1&amp;gad_campaignid=21122993677&amp;gbraid=0AAAAADtbEB_xoLiC62--S2oi9SW57qlTR&amp;gclid=CjwKCAjwtIfPBhAzEiwAv9RTJhwfdxCbWv3z6WVgL6wn1TTjkMgp5yX9kK-xGezh8VxRkRcJJCUmZhoCQIwQAvD_BwE</t>
  </si>
  <si>
    <t>6mm FC Sheet (Fibro) 1200×2400</t>
  </si>
  <si>
    <t>https://www.bunnings.com.au/james-hardie-2400-x-1200-x-4-5mm-2-88m-hardieflex-cladding_p0711396?store=8129&amp;gclsrc=aw.ds&amp;gad_source=1&amp;gad_campaignid=21122993677&amp;gbraid=0AAAAADtbEB_xoLiC62--S2oi9SW57qlTR&amp;gclid=CjwKCAjwtIfPBhAzEiwAv9RTJtTgke7ZCc2j4B7WswTvrxWJshf6rSy_CL_m3vF9qp1Q0JbpirOmtBoCN6YQAvD_BwE</t>
  </si>
  <si>
    <t>4.5mm FC Sheet 1200×2400</t>
  </si>
  <si>
    <t>https://www.bunnings.com.au/2400-x-1200mm-7mm-plywood-f8-pine-structural-cd-grade_p0340349?store=8129&amp;gclsrc=aw.ds&amp;gad_source=1&amp;gad_campaignid=21122993677&amp;gbraid=0AAAAADtbEB_xoLiC62--S2oi9SW57qlTR&amp;gclid=CjwKCAjwtIfPBhAzEiwAv9RTJq8WqdRn9Mc62tJh3BlPh2Y1NME1Jt7G9LZ8NDIKRlFE-3ARYKCuahoCB00QAvD_BwE</t>
  </si>
  <si>
    <t>https://www.bunnings.com.au/2400-x-1200mm-9mm-plywood-f8-pine-structural-cd-grade_p0340350?store=8129&amp;gclsrc=aw.ds&amp;gad_source=1&amp;gad_campaignid=21122993677&amp;gbraid=0AAAAADtbEB_xoLiC62--S2oi9SW57qlTR&amp;gclid=CjwKCAjwtIfPBhAzEiwAv9RTJk-D3YJ-VXOecJI4HW-sShg03h2z3WULKl0N__fNJzB2TxwEO-WsaRoCwbAQAvD_BwE</t>
  </si>
  <si>
    <t>https://www.bunnings.com.au/specrite-2400-x-1200-x-12mm-plywood-non-structural-cd_p0354353?store=8129&amp;gclsrc=aw.ds&amp;gad_source=1&amp;gad_campaignid=20293657175&amp;gbraid=0AAAAADtbEB9WEZF-MAGsCKir9i1qWLNmc&amp;gclid=CjwKCAjwtIfPBhAzEiwAv9RTJqCYqo7JPZVYTmj_F3qK_giEWKxrPUtsJqDgEtyaQHhTEDs7dkBZ9BoCwkMQAvD_BwE</t>
  </si>
  <si>
    <t>https://www.bunnings.com.au/2400-x-1200mm-17mm-plywood-f8-pine-structural-cd-grade_p0340353?store=8129&amp;gclsrc=aw.ds&amp;gad_source=1&amp;gad_campaignid=21122993677&amp;gbraid=0AAAAADtbEB_xoLiC62--S2oi9SW57qlTR&amp;gclid=CjwKCAjwtIfPBhAzEiwAv9RTJkWFqhuLFzuQDksx9jwFaa2ZwOmu9_W2AeYrmLqJTXf1-ECt2a35MRoCiZIQAvD_BwE</t>
  </si>
  <si>
    <t>https://www.bunnings.com.au/2400-x-1200mm-19mm-plywood-f8-pine-structural-cd-grade_p0340354?store=8129&amp;gclsrc=aw.ds&amp;gad_source=1&amp;gad_campaignid=21122993677&amp;gbraid=0AAAAADtbEB_xoLiC62--S2oi9SW57qlTR&amp;gclid=CjwKCAjwtIfPBhAzEiwAv9RTJkFdeOxGrQNUNCC__afsMhEnkJ8FOxMi406LwaIAuEyQ4O4tGb8zPBoCB64QAvD_BwE</t>
  </si>
  <si>
    <t>https://www.bunnings.com.au/james-hardie-2-88m-villaboard-lining-2400-x-1200-x-6mm_p0714174?store=8129&amp;gclsrc=aw.ds&amp;gad_source=1&amp;gad_campaignid=21122993677&amp;gbraid=0AAAAADtbEB_xoLiC62--S2oi9SW57qlTR&amp;gclid=CjwKCAjwtIfPBhAzEiwAv9RTJlS_4g1kuRsZpMlbx4wuHuTHT9Ekzz3Q0c1tS-Yh2L3HuMSIDfJdVhoCB4sQAvD_BwE</t>
  </si>
  <si>
    <t>6.5mm Villaboard 1200×2400 (wet areas)</t>
  </si>
  <si>
    <t>https://www.bunnings.com.au/james-hardie-2400-x-1200-x-9mm-2-88sqm-villaboard-fc-lining_p0710772</t>
  </si>
  <si>
    <t xml:space="preserve">9mm Villaboard 1200x2400 </t>
  </si>
  <si>
    <t>https://www.bunnings.com.au/james-hardie-4200-x-180-x-16mm-linea-weatherboard_p0710203</t>
  </si>
  <si>
    <t>Board</t>
  </si>
  <si>
    <t>https://www.bunnings.com.au/james-hardie-4200-x-230-x-7-5mm-hardieplank-smooth-weatherboard-4200-x-230-x-7-5_p0711859?store=8129&amp;gclsrc=aw.ds&amp;gad_source=1&amp;gad_campaignid=21122993677&amp;gbraid=0AAAAADtbEB_xoLiC62--S2oi9SW57qlTR&amp;gclid=CjwKCAjwtIfPBhAzEiwAv9RTJuOcdMSnaoEwiqlgrSkqNBcuLCxpT_2VfUhrq5flVwy3kIZa3aScMBoCYG0QAvD_BwE</t>
  </si>
  <si>
    <t>https://www.bunnings.com.au/james-hardie-2450-x-1200-x-9mm-133mm-smooth-axon-cladding-2-94m-_p0710206</t>
  </si>
  <si>
    <t>https://www.bunnings.com.au/porta-dressed-board-67-x-18mm-primed-fj-pine-2-7m_p8480063</t>
  </si>
  <si>
    <t>https://www.bunnings.com.au/92-x-18mm-5-4m-moulding-white-pine-fj-primed-pr4_p0020751?store=8129&amp;gclsrc=aw.ds&amp;gad_source=1&amp;gad_campaignid=21122993677&amp;gbraid=0AAAAADtbEB_xoLiC62--S2oi9SW57qlTR&amp;gclid=CjwKCAjwtIfPBhAzEiwAv9RTJhMA61DTCu9npxwUs7S-9oBAz3qSla-HZy0oOSVm9YgguRyk8qkRIhoC5O4QAvD_BwE</t>
  </si>
  <si>
    <t>https://www.bunnings.com.au/66-x-18mm-5-4m-white-moulding-pine-fj-primed-dar_p0020750?store=8129&amp;gclsrc=aw.ds&amp;gad_source=1&amp;gad_campaignid=21122993677&amp;gbraid=0AAAAADtbEB_xoLiC62--S2oi9SW57qlTR&amp;gclid=CjwKCAjwtIfPBhAzEiwAv9RTJsBjhA-oURDXqk0e__C-JqGsdytxvlh3H0Q7qigP7OVpe3kz3hCwWBoCmKQQAvD_BwE</t>
  </si>
  <si>
    <t>https://www.bunnings.com.au/42-x-18mm-5-4m-white-moulding-pine-fj-primed-dar_p0020749</t>
  </si>
  <si>
    <t xml:space="preserve">42×18 Pine DAR </t>
  </si>
  <si>
    <t>https://www.bunnings.com.au/66-x-18mm-5-4m-moulding-white-pine-fj-primed-half-splayed_p0020717</t>
  </si>
  <si>
    <t>66x18 Half Splayed</t>
  </si>
  <si>
    <t>https://www.bunnings.com.au/31-x-11mm-5-4m-white-moulding-pine-fj-primed-dar_p0020885</t>
  </si>
  <si>
    <t>31x11 Pine DAR Door Stop</t>
  </si>
  <si>
    <t>66x11 DAR</t>
  </si>
  <si>
    <t>https://www.bunnings.com.au/66-x-11mm-5-4m-moulding-white-pine-fj-primed-dar_p0021147</t>
  </si>
  <si>
    <t>92x11 DAR</t>
  </si>
  <si>
    <t>https://www.bunnings.com.au/selleys-320g-liquid-nails-construction-adhesive_p1233751?store=8129&amp;gclsrc=aw.ds&amp;gad_source=1&amp;gad_campaignid=21122993677&amp;gbraid=0AAAAADtbEB-PG_WwItgk19kLaIz9nd2UT&amp;gclid=CjwKCAjw14zPBhAuEiwAP3-Eb48rS1DfCdEktraEgbXkCgZ_AzYqL4dMFBDPQp4F1uiZp43qTq2ySRoC0nkQAvD_BwE</t>
  </si>
  <si>
    <t>https://www.bunnings.com.au/sika-sikabond-600ml-adhesive-timber-flooring_p6824507?store=8129&amp;gclsrc=aw.ds&amp;gad_source=1&amp;gad_campaignid=21122993677&amp;gbraid=0AAAAADtbEB-PG_WwItgk19kLaIz9nd2UT&amp;gclid=CjwKCAjw14zPBhAuEiwAP3-Eb1YxZQLJipZE_8Gpt-p-gPFIGPoc0i1ZEXki3Wt0y3gASeWemV3nPRoCFvoQAvD_BwE</t>
  </si>
  <si>
    <t>https://www.bunnings.com.au/sika-600ml-concrete-grey-sikaflex-11fc-purform_p0628966</t>
  </si>
  <si>
    <t>https://www.bunnings.com.au/selleys-450g-dulux-natural-white-no-more-gaps-interior-colours-gap-filler_p0266916</t>
  </si>
  <si>
    <t>https://www.bunnings.com.au/selleys-310g-translucent-roof-and-gutter-silicone-sealant_p1234919</t>
  </si>
  <si>
    <t>https://www.bunnings.com.au/gorilla-236ml-wood-glue_p1662680</t>
  </si>
  <si>
    <t>https://www.bunnings.com.au/bastion-20kg-premix-concrete_p0760291</t>
  </si>
  <si>
    <t>https://www.bunnings.com.au/bastion-20kg-rapid-set-concrete_p0760292</t>
  </si>
  <si>
    <t>Post Mix 20kg</t>
  </si>
  <si>
    <t>https://www.bunnings.com.au/bastion-20kg-post-mix-concrete_p0760294</t>
  </si>
  <si>
    <t>https://www.bunnings.com.au/earthwool-r2-0-wall-batt-90mm-x-430mm-x-1160mm-16-0m-32-pack_p0810324</t>
  </si>
  <si>
    <t>Earthwool R2.0 Wall Batt 90mm x 430mm x 1160mm 16.0m²</t>
  </si>
  <si>
    <t>https://www.bunnings.com.au/earthwool-r2-5hd-soundshield-wall-batt-90mm-x-430mm-x-1160mm-7-0m-14-pack_p0810602</t>
  </si>
  <si>
    <t>https://www.bunnings.com.au/earthwool-r4-0-ceiling-batt-195mm-x-430mm-x-1160mm-7-5m-15-pack_p0300790</t>
  </si>
  <si>
    <t>R4.0 Ceiling Batts</t>
  </si>
  <si>
    <t>R2.5 Wall Batts</t>
  </si>
  <si>
    <t>R6.0 Ceiling Batts</t>
  </si>
  <si>
    <t>https://www.bunnings.com.au/earthwool-r6-0-ceiling-batt-275-x-580-x-1160mm-7-40m-11-pack_p0810607</t>
  </si>
  <si>
    <t>https://www.bunnings.com.au/earthwool-55mm-x-1200mm-x-15000mm-18m-space-blanket-r1-3-metal-roof-insulation-pack-of-1_p0810887</t>
  </si>
  <si>
    <t>https://www.bunnings.com.au/titan-75-x-3-06mm-bright-steel-collated-framing-nails-3000-box_p0571385</t>
  </si>
  <si>
    <t>75mm Galvinised Framing Nails</t>
  </si>
  <si>
    <t>https://www.bunnings.com.au/titan-75-x-3-06-mm-hot-dipped-galvanised-collated-framing-nails-box-of-3000_p0669445</t>
  </si>
  <si>
    <t>https://www.bunnings.com.au/bremick-ultrafast-10g-x-65mm-stainless-steel-316-t20-truss-head-500-pack_p0671176</t>
  </si>
  <si>
    <t>https://www.bunnings.com.au/titan-6g-x-25mm-plasterboard-screw-500-pack_p0912050</t>
  </si>
  <si>
    <t>https://www.bunnings.com.au/csr-gyprock-32mm-fine-needle-point-plasterboard-screws-1000-pack_p0200902</t>
  </si>
  <si>
    <t>32mm Plasterboard Screws</t>
  </si>
  <si>
    <t>Screws 25mm (plasterboard)</t>
  </si>
  <si>
    <t>https://www.bunnings.com.au/paslode-30-x-2-8mm-2kg-galvanised-clout-1000-pack_p2360578</t>
  </si>
  <si>
    <t>https://www.bunnings.com.au/ramset-10-x-100mm-galvanised-ankascrew-masonry-anchor_p2260285</t>
  </si>
  <si>
    <t>https://www.bunnings.com.au/metal-mate-25-x-25-x-3mm-3m-aluminium-equal-angle-silver_p1079569</t>
  </si>
  <si>
    <t>https://www.bunnings.com.au/metal-mate-40-x-20-x-1-6mm-3m-aluminium-unequal-angle_p0427729</t>
  </si>
  <si>
    <t>40×20×1.6mm Aluminium Angle</t>
  </si>
  <si>
    <t>https://www.bunnings.com.au/metal-mate-40-x-40-x-1-4mm-3m-aluminium-equal-angle-silver_p1079577</t>
  </si>
  <si>
    <t>https://www.bunnings.com.au/metal-mate-50-x-50-x-3mm-3m-silver-aluminium-equal-angle_p1079593</t>
  </si>
  <si>
    <t>https://www.bunnings.com.au/metal-mate-25-x-3mm-3m-aluminium-flat-bar-silver_p1079373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</si>
</sst>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4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9"/>
      <color rgb="FF1F4E79"/>
      <name val="Arial"/>
      <family val="2"/>
    </font>
    <font>
      <b/>
      <sz val="10"/>
      <color rgb="FF1F4E79"/>
      <name val="Arial"/>
      <family val="2"/>
    </font>
    <font>
      <sz val="10"/>
      <color rgb="FF000000"/>
      <name val="Arial"/>
      <family val="2"/>
    </font>
    <font>
      <b/>
      <sz val="9"/>
      <color rgb="FF0D5257"/>
      <name val="Abadi MT Condensed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/>
    </xf>
    <xf numFmtId="4" fontId="4" fillId="0" borderId="0" xfId="0" applyNumberFormat="1" applyFont="1"/>
    <xf numFmtId="0" fontId="8" fillId="4" borderId="0" xfId="0" applyFont="1" applyFill="1" applyAlignment="1">
      <alignment horizontal="left"/>
    </xf>
    <xf numFmtId="4" fontId="4" fillId="0" borderId="0" xfId="0" applyNumberFormat="1" applyFont="1" applyFill="1" applyBorder="1"/>
    <xf numFmtId="0" fontId="6" fillId="3" borderId="0" xfId="0" applyFont="1" applyFill="1" applyAlignment="1">
      <alignment horizontal="left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/>
    </xf>
    <xf numFmtId="0" fontId="6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6" fillId="2" borderId="0" xfId="0" applyFont="1" applyFill="1" applyAlignment="1">
      <alignment horizontal="center" vertical="center"/>
    </xf>
    <xf numFmtId="44" fontId="0" fillId="0" borderId="0" xfId="1" applyFont="1"/>
    <xf numFmtId="44" fontId="6" fillId="3" borderId="2" xfId="1" applyFont="1" applyFill="1" applyBorder="1" applyAlignment="1">
      <alignment horizontal="center" vertical="center"/>
    </xf>
    <xf numFmtId="44" fontId="4" fillId="0" borderId="0" xfId="1" applyFont="1"/>
    <xf numFmtId="44" fontId="6" fillId="3" borderId="0" xfId="1" applyFont="1" applyFill="1" applyAlignment="1">
      <alignment horizontal="left"/>
    </xf>
    <xf numFmtId="44" fontId="6" fillId="5" borderId="0" xfId="1" applyFont="1" applyFill="1" applyAlignment="1">
      <alignment horizontal="center" vertical="center"/>
    </xf>
    <xf numFmtId="44" fontId="6" fillId="5" borderId="0" xfId="1" applyFont="1" applyFill="1" applyAlignment="1">
      <alignment horizontal="left"/>
    </xf>
    <xf numFmtId="0" fontId="2" fillId="0" borderId="0" xfId="2"/>
    <xf numFmtId="0" fontId="2" fillId="0" borderId="0" xfId="2" applyAlignment="1">
      <alignment wrapText="1"/>
    </xf>
    <xf numFmtId="0" fontId="9" fillId="0" borderId="0" xfId="0" applyFont="1"/>
    <xf numFmtId="0" fontId="10" fillId="0" borderId="0" xfId="0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F3B00A-A9AB-FC47-A743-696ABEA01697}">
  <we:reference id="29673e3c-d826-4f00-92ee-162334a52b1a" version="1.0.0.8" store="EXCatalog" storeType="EXCatalog"/>
  <we:alternateReferences>
    <we:reference id="WA200009404" version="1.0.0.8" store="en-GB" storeType="OMEX"/>
  </we:alternateReferences>
  <we:properties>
    <we:property name="claude.fileId" value="&quot;64ebcdae-7e78-45cd-af2c-71d92d8c882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unnings.com.au/66-x-18mm-5-4m-white-moulding-pine-fj-primed-dar_p0020750?store=8129&amp;gclsrc=aw.ds&amp;gad_source=1&amp;gad_campaignid=21122993677&amp;gbraid=0AAAAADtbEB_xoLiC62--S2oi9SW57qlTR&amp;gclid=CjwKCAjwtIfPBhAzEiwAv9RTJsBjhA-oURDXqk0e__C-JqGsdytxvlh3H0Q7qigP7OVpe3kz3hCwWBoCmKQQAvD_BwE" TargetMode="External"/><Relationship Id="rId3" Type="http://schemas.openxmlformats.org/officeDocument/2006/relationships/hyperlink" Target="https://www.bunnings.com.au/90-x-45mm-framing-mgp10-h2-blue-pine-2-4m_p8031022?store=8211&amp;gclsrc=aw.ds&amp;gad_source=1&amp;gad_campaignid=21122993677&amp;gbraid=0AAAAADtbEB_xoLiC62--S2oi9SW57qlTR&amp;gclid=CjwKCAjwtIfPBhAzEiwAv9RTJihMLLY-fZeIXaqXU8xO3vZ-GJg_dlZG_RHpjqwn31qVLSD1upkW3hoCmIQQAvD_BwE" TargetMode="External"/><Relationship Id="rId7" Type="http://schemas.openxmlformats.org/officeDocument/2006/relationships/hyperlink" Target="https://www.bunnings.com.au/42-x-18mm-5-4m-white-moulding-pine-fj-primed-dar_p0020749" TargetMode="External"/><Relationship Id="rId2" Type="http://schemas.openxmlformats.org/officeDocument/2006/relationships/hyperlink" Target="https://www.bunnings.com.au/90-x-35mm-framing-mgp10-h2-blue-pine-6-0m_p8031011?store=8129&amp;gclsrc=aw.ds&amp;gad_source=1&amp;gad_campaignid=21122993677&amp;gbraid=0AAAAADtbEB_xoLiC62--S2oi9SW57qlTR&amp;gclid=CjwKCAjwtIfPBhAzEiwAv9RTJvK06AKI8ctcDpxMv_OFe6-5k5Te-YTwpu6OWhCAiBtgCRCtlcS3QhoCy8UQAvD_BwE" TargetMode="External"/><Relationship Id="rId1" Type="http://schemas.openxmlformats.org/officeDocument/2006/relationships/hyperlink" Target="https://www.bunnings.com.au/90-x-45mm-outdoor-framing-h3-treated-pine-3-0m_p8032174?store=8129&amp;gclsrc=aw.ds&amp;gad_source=1&amp;gad_campaignid=21122993677&amp;gbraid=0AAAAADtbEB_xoLiC62--S2oi9SW57qlTR&amp;gclid=CjwKCAjwtIfPBhAzEiwAv9RTJo_memEjwaheipt8MIA_eKw9cIQadSSqvpu20INYMKwjnT0yMrD_ABoCtn0QAvD_BwE" TargetMode="External"/><Relationship Id="rId6" Type="http://schemas.openxmlformats.org/officeDocument/2006/relationships/hyperlink" Target="https://www.bunnings.com.au/31-x-11mm-5-4m-white-moulding-pine-fj-primed-dar_p0020885" TargetMode="External"/><Relationship Id="rId11" Type="http://schemas.openxmlformats.org/officeDocument/2006/relationships/hyperlink" Target="https://www.bunnings.com.au/66-x-11mm-5-4m-moulding-white-pine-fj-primed-dar_p0021147" TargetMode="External"/><Relationship Id="rId5" Type="http://schemas.openxmlformats.org/officeDocument/2006/relationships/hyperlink" Target="https://www.bunnings.com.au/66-x-18mm-5-4m-moulding-white-pine-fj-primed-half-splayed_p0020717" TargetMode="External"/><Relationship Id="rId10" Type="http://schemas.openxmlformats.org/officeDocument/2006/relationships/hyperlink" Target="https://www.bunnings.com.au/porta-dressed-board-67-x-18mm-primed-fj-pine-2-7m_p8480063" TargetMode="External"/><Relationship Id="rId4" Type="http://schemas.openxmlformats.org/officeDocument/2006/relationships/hyperlink" Target="https://www.bunnings.com.au/james-hardie-2400-x-1200-x-9mm-2-88sqm-villaboard-fc-lining_p0710772" TargetMode="External"/><Relationship Id="rId9" Type="http://schemas.openxmlformats.org/officeDocument/2006/relationships/hyperlink" Target="https://www.bunnings.com.au/92-x-18mm-5-4m-moulding-white-pine-fj-primed-pr4_p0020751?store=8129&amp;gclsrc=aw.ds&amp;gad_source=1&amp;gad_campaignid=21122993677&amp;gbraid=0AAAAADtbEB_xoLiC62--S2oi9SW57qlTR&amp;gclid=CjwKCAjwtIfPBhAzEiwAv9RTJhMA61DTCu9npxwUs7S-9oBAz3qSla-HZy0oOSVm9YgguRyk8qkRIhoC5O4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6C98F-976F-9A44-9685-6503A1E0F17A}">
  <dimension ref="A1:G171"/>
  <sheetViews>
    <sheetView tabSelected="1" topLeftCell="A91" workbookViewId="0">
      <selection activeCell="B115" sqref="B115"/>
    </sheetView>
  </sheetViews>
  <sheetFormatPr baseColWidth="10" defaultRowHeight="16" x14ac:dyDescent="0.2"/>
  <cols>
    <col min="1" max="1" width="43.33203125" customWidth="1"/>
    <col min="2" max="2" width="26.6640625" customWidth="1"/>
    <col min="3" max="3" width="12" customWidth="1"/>
    <col min="4" max="4" width="14.33203125" customWidth="1"/>
    <col min="5" max="5" width="16.6640625" style="21" customWidth="1"/>
    <col min="6" max="6" width="16.6640625" customWidth="1"/>
    <col min="7" max="7" width="21.6640625" customWidth="1"/>
  </cols>
  <sheetData>
    <row r="1" spans="1:7" ht="30" customHeight="1" x14ac:dyDescent="0.2">
      <c r="A1" s="1" t="s">
        <v>0</v>
      </c>
      <c r="B1" s="1"/>
      <c r="C1" s="1"/>
      <c r="D1" s="1"/>
      <c r="E1" s="1"/>
      <c r="F1" s="1"/>
      <c r="G1" s="1"/>
    </row>
    <row r="2" spans="1:7" ht="18" customHeight="1" x14ac:dyDescent="0.2">
      <c r="A2" s="3" t="s">
        <v>1</v>
      </c>
    </row>
    <row r="3" spans="1:7" ht="18" customHeight="1" x14ac:dyDescent="0.2">
      <c r="A3" s="3" t="s">
        <v>2</v>
      </c>
    </row>
    <row r="4" spans="1:7" ht="18" customHeight="1" x14ac:dyDescent="0.2">
      <c r="A4" s="3" t="s">
        <v>3</v>
      </c>
    </row>
    <row r="5" spans="1:7" ht="18" customHeight="1" x14ac:dyDescent="0.2">
      <c r="A5" s="3" t="s">
        <v>4</v>
      </c>
    </row>
    <row r="6" spans="1:7" ht="10" customHeight="1" x14ac:dyDescent="0.2"/>
    <row r="7" spans="1:7" ht="22" customHeight="1" x14ac:dyDescent="0.2">
      <c r="A7" s="4" t="s">
        <v>5</v>
      </c>
      <c r="B7" s="4"/>
      <c r="C7" s="4"/>
      <c r="D7" s="4"/>
      <c r="E7" s="4"/>
      <c r="F7" s="4"/>
      <c r="G7" s="4"/>
    </row>
    <row r="8" spans="1:7" ht="30" customHeight="1" x14ac:dyDescent="0.2">
      <c r="A8" s="5" t="s">
        <v>6</v>
      </c>
      <c r="B8" s="5" t="s">
        <v>7</v>
      </c>
      <c r="C8" s="5" t="s">
        <v>8</v>
      </c>
      <c r="D8" s="5" t="s">
        <v>9</v>
      </c>
      <c r="E8" s="22" t="s">
        <v>10</v>
      </c>
      <c r="F8" s="5" t="s">
        <v>11</v>
      </c>
      <c r="G8" s="6" t="s">
        <v>12</v>
      </c>
    </row>
    <row r="9" spans="1:7" ht="18" customHeight="1" x14ac:dyDescent="0.2">
      <c r="A9" s="7" t="s">
        <v>13</v>
      </c>
      <c r="B9" s="7"/>
      <c r="C9" s="7"/>
      <c r="D9" s="7"/>
      <c r="E9" s="7"/>
      <c r="F9" s="7"/>
      <c r="G9" s="7"/>
    </row>
    <row r="10" spans="1:7" ht="18" customHeight="1" x14ac:dyDescent="0.2">
      <c r="A10" s="2" t="s">
        <v>24</v>
      </c>
      <c r="B10" s="27" t="s">
        <v>205</v>
      </c>
      <c r="C10" s="2" t="s">
        <v>25</v>
      </c>
      <c r="D10" s="2"/>
      <c r="E10" s="23">
        <v>6.94</v>
      </c>
      <c r="F10" s="8" t="str">
        <f>IF(D10="","",IF(E10="","",D10*E10))</f>
        <v/>
      </c>
      <c r="G10" s="2"/>
    </row>
    <row r="11" spans="1:7" ht="18" customHeight="1" x14ac:dyDescent="0.2">
      <c r="A11" s="2" t="s">
        <v>202</v>
      </c>
      <c r="B11" s="27" t="s">
        <v>206</v>
      </c>
      <c r="C11" s="2" t="s">
        <v>25</v>
      </c>
      <c r="D11" s="2"/>
      <c r="E11" s="23">
        <v>7.8</v>
      </c>
      <c r="F11" s="8" t="str">
        <f t="shared" ref="F11:F19" si="0">IF(D11="","",IF(E11="","",D11*E11))</f>
        <v/>
      </c>
      <c r="G11" s="2"/>
    </row>
    <row r="12" spans="1:7" ht="18" customHeight="1" x14ac:dyDescent="0.2">
      <c r="A12" s="2" t="s">
        <v>203</v>
      </c>
      <c r="B12" s="27" t="s">
        <v>207</v>
      </c>
      <c r="C12" s="2" t="s">
        <v>25</v>
      </c>
      <c r="D12" s="2"/>
      <c r="E12" s="23">
        <v>5.3</v>
      </c>
      <c r="F12" s="8" t="str">
        <f t="shared" si="0"/>
        <v/>
      </c>
      <c r="G12" s="2"/>
    </row>
    <row r="13" spans="1:7" ht="18" customHeight="1" x14ac:dyDescent="0.2">
      <c r="A13" s="2" t="s">
        <v>208</v>
      </c>
      <c r="B13" s="2" t="s">
        <v>209</v>
      </c>
      <c r="C13" s="2" t="s">
        <v>25</v>
      </c>
      <c r="D13" s="2"/>
      <c r="E13" s="23">
        <v>6.52</v>
      </c>
      <c r="F13" s="8" t="str">
        <f t="shared" si="0"/>
        <v/>
      </c>
      <c r="G13" s="2"/>
    </row>
    <row r="14" spans="1:7" ht="18" customHeight="1" x14ac:dyDescent="0.2">
      <c r="A14" s="2" t="s">
        <v>204</v>
      </c>
      <c r="B14" s="2" t="s">
        <v>210</v>
      </c>
      <c r="C14" s="2" t="s">
        <v>25</v>
      </c>
      <c r="D14" s="2"/>
      <c r="E14" s="23">
        <v>12.9</v>
      </c>
      <c r="F14" s="8" t="str">
        <f t="shared" si="0"/>
        <v/>
      </c>
      <c r="G14" s="2"/>
    </row>
    <row r="15" spans="1:7" ht="18" customHeight="1" x14ac:dyDescent="0.2">
      <c r="A15" s="2" t="s">
        <v>26</v>
      </c>
      <c r="B15" s="2" t="s">
        <v>211</v>
      </c>
      <c r="C15" s="2" t="s">
        <v>25</v>
      </c>
      <c r="D15" s="2"/>
      <c r="E15" s="23">
        <v>17.14</v>
      </c>
      <c r="F15" s="8" t="str">
        <f t="shared" si="0"/>
        <v/>
      </c>
      <c r="G15" s="2"/>
    </row>
    <row r="16" spans="1:7" ht="18" customHeight="1" x14ac:dyDescent="0.2">
      <c r="A16" s="2" t="s">
        <v>27</v>
      </c>
      <c r="B16" s="2" t="s">
        <v>212</v>
      </c>
      <c r="C16" s="2" t="s">
        <v>25</v>
      </c>
      <c r="D16" s="2"/>
      <c r="E16" s="23">
        <v>23.91</v>
      </c>
      <c r="F16" s="8" t="str">
        <f t="shared" si="0"/>
        <v/>
      </c>
      <c r="G16" s="2"/>
    </row>
    <row r="17" spans="1:7" ht="18" customHeight="1" x14ac:dyDescent="0.2">
      <c r="A17" s="2" t="s">
        <v>213</v>
      </c>
      <c r="B17" s="2" t="s">
        <v>214</v>
      </c>
      <c r="C17" s="2" t="s">
        <v>25</v>
      </c>
      <c r="D17" s="2"/>
      <c r="E17" s="23">
        <v>5.03</v>
      </c>
      <c r="F17" s="8" t="str">
        <f t="shared" si="0"/>
        <v/>
      </c>
      <c r="G17" s="2"/>
    </row>
    <row r="18" spans="1:7" ht="18" customHeight="1" x14ac:dyDescent="0.2">
      <c r="A18" s="2" t="s">
        <v>28</v>
      </c>
      <c r="B18" s="2" t="s">
        <v>215</v>
      </c>
      <c r="C18" s="2" t="s">
        <v>25</v>
      </c>
      <c r="D18" s="2"/>
      <c r="E18" s="23">
        <v>4.8</v>
      </c>
      <c r="F18" s="8" t="str">
        <f t="shared" si="0"/>
        <v/>
      </c>
      <c r="G18" s="2"/>
    </row>
    <row r="19" spans="1:7" ht="18" customHeight="1" x14ac:dyDescent="0.2">
      <c r="A19" s="2" t="s">
        <v>29</v>
      </c>
      <c r="B19" s="2"/>
      <c r="C19" s="2" t="s">
        <v>25</v>
      </c>
      <c r="D19" s="2"/>
      <c r="E19" s="23"/>
      <c r="F19" s="8" t="str">
        <f t="shared" si="0"/>
        <v/>
      </c>
      <c r="G19" s="2"/>
    </row>
    <row r="20" spans="1:7" ht="18" customHeight="1" x14ac:dyDescent="0.2">
      <c r="A20" s="9" t="s">
        <v>14</v>
      </c>
      <c r="B20" s="9"/>
      <c r="C20" s="9"/>
      <c r="D20" s="9"/>
      <c r="E20" s="9"/>
      <c r="F20" s="9"/>
      <c r="G20" s="9"/>
    </row>
    <row r="21" spans="1:7" ht="18" customHeight="1" x14ac:dyDescent="0.2">
      <c r="A21" s="2" t="s">
        <v>30</v>
      </c>
      <c r="B21" s="2" t="s">
        <v>216</v>
      </c>
      <c r="C21" s="2" t="s">
        <v>31</v>
      </c>
      <c r="D21" s="2"/>
      <c r="E21" s="23">
        <v>23.75</v>
      </c>
      <c r="F21" s="10" t="str">
        <f>IF(D21="","",IF(E21="","",D21*E21))</f>
        <v/>
      </c>
      <c r="G21" s="2"/>
    </row>
    <row r="22" spans="1:7" ht="18" customHeight="1" x14ac:dyDescent="0.2">
      <c r="A22" s="2" t="s">
        <v>32</v>
      </c>
      <c r="B22" s="2" t="s">
        <v>217</v>
      </c>
      <c r="C22" s="2" t="s">
        <v>31</v>
      </c>
      <c r="D22" s="2"/>
      <c r="E22" s="23">
        <v>43.15</v>
      </c>
      <c r="F22" s="10" t="str">
        <f t="shared" ref="F22:F34" si="1">IF(D22="","",IF(E22="","",D22*E22))</f>
        <v/>
      </c>
      <c r="G22" s="2"/>
    </row>
    <row r="23" spans="1:7" ht="18" customHeight="1" x14ac:dyDescent="0.2">
      <c r="A23" s="2" t="s">
        <v>33</v>
      </c>
      <c r="B23" s="2" t="s">
        <v>218</v>
      </c>
      <c r="C23" s="2" t="s">
        <v>31</v>
      </c>
      <c r="D23" s="2"/>
      <c r="E23" s="23">
        <v>42.91</v>
      </c>
      <c r="F23" s="10" t="str">
        <f t="shared" si="1"/>
        <v/>
      </c>
      <c r="G23" s="2"/>
    </row>
    <row r="24" spans="1:7" ht="18" customHeight="1" x14ac:dyDescent="0.2">
      <c r="A24" s="2" t="s">
        <v>34</v>
      </c>
      <c r="B24" s="2"/>
      <c r="C24" s="2" t="s">
        <v>31</v>
      </c>
      <c r="D24" s="2"/>
      <c r="E24" s="23"/>
      <c r="F24" s="10" t="str">
        <f t="shared" si="1"/>
        <v/>
      </c>
      <c r="G24" s="2"/>
    </row>
    <row r="25" spans="1:7" ht="18" customHeight="1" x14ac:dyDescent="0.2">
      <c r="A25" s="2" t="s">
        <v>220</v>
      </c>
      <c r="B25" s="2" t="s">
        <v>219</v>
      </c>
      <c r="C25" s="2" t="s">
        <v>31</v>
      </c>
      <c r="D25" s="2"/>
      <c r="E25" s="23">
        <v>63.4</v>
      </c>
      <c r="F25" s="10" t="str">
        <f t="shared" si="1"/>
        <v/>
      </c>
      <c r="G25" s="2"/>
    </row>
    <row r="26" spans="1:7" ht="18" customHeight="1" x14ac:dyDescent="0.2">
      <c r="A26" s="2" t="s">
        <v>222</v>
      </c>
      <c r="B26" s="2" t="s">
        <v>221</v>
      </c>
      <c r="C26" s="2" t="s">
        <v>31</v>
      </c>
      <c r="D26" s="2"/>
      <c r="E26" s="23">
        <v>40.729999999999997</v>
      </c>
      <c r="F26" s="10" t="str">
        <f t="shared" si="1"/>
        <v/>
      </c>
      <c r="G26" s="2"/>
    </row>
    <row r="27" spans="1:7" ht="18" customHeight="1" x14ac:dyDescent="0.2">
      <c r="A27" s="2" t="s">
        <v>35</v>
      </c>
      <c r="B27" s="2" t="s">
        <v>223</v>
      </c>
      <c r="C27" s="2" t="s">
        <v>31</v>
      </c>
      <c r="D27" s="2"/>
      <c r="E27" s="23">
        <v>45.9</v>
      </c>
      <c r="F27" s="10" t="str">
        <f t="shared" si="1"/>
        <v/>
      </c>
      <c r="G27" s="2"/>
    </row>
    <row r="28" spans="1:7" ht="18" customHeight="1" x14ac:dyDescent="0.2">
      <c r="A28" s="2" t="s">
        <v>36</v>
      </c>
      <c r="B28" s="2" t="s">
        <v>224</v>
      </c>
      <c r="C28" s="2" t="s">
        <v>31</v>
      </c>
      <c r="D28" s="2"/>
      <c r="E28" s="23">
        <v>54.9</v>
      </c>
      <c r="F28" s="10" t="str">
        <f t="shared" si="1"/>
        <v/>
      </c>
      <c r="G28" s="2"/>
    </row>
    <row r="29" spans="1:7" ht="18" customHeight="1" x14ac:dyDescent="0.2">
      <c r="A29" s="2" t="s">
        <v>37</v>
      </c>
      <c r="B29" s="2" t="s">
        <v>225</v>
      </c>
      <c r="C29" s="2" t="s">
        <v>31</v>
      </c>
      <c r="D29" s="2"/>
      <c r="E29" s="23">
        <v>46</v>
      </c>
      <c r="F29" s="10" t="str">
        <f t="shared" si="1"/>
        <v/>
      </c>
      <c r="G29" s="2"/>
    </row>
    <row r="30" spans="1:7" ht="18" customHeight="1" x14ac:dyDescent="0.2">
      <c r="A30" s="2" t="s">
        <v>38</v>
      </c>
      <c r="B30" s="2" t="s">
        <v>226</v>
      </c>
      <c r="C30" s="2" t="s">
        <v>31</v>
      </c>
      <c r="D30" s="2"/>
      <c r="E30" s="23">
        <v>100.5</v>
      </c>
      <c r="F30" s="10" t="str">
        <f t="shared" si="1"/>
        <v/>
      </c>
      <c r="G30" s="2"/>
    </row>
    <row r="31" spans="1:7" ht="18" customHeight="1" x14ac:dyDescent="0.2">
      <c r="A31" s="2" t="s">
        <v>39</v>
      </c>
      <c r="B31" s="2" t="s">
        <v>227</v>
      </c>
      <c r="C31" s="2" t="s">
        <v>31</v>
      </c>
      <c r="D31" s="2"/>
      <c r="E31" s="23">
        <v>111</v>
      </c>
      <c r="F31" s="10" t="str">
        <f t="shared" si="1"/>
        <v/>
      </c>
      <c r="G31" s="2"/>
    </row>
    <row r="32" spans="1:7" ht="18" customHeight="1" x14ac:dyDescent="0.2">
      <c r="A32" s="2" t="s">
        <v>229</v>
      </c>
      <c r="B32" s="2" t="s">
        <v>228</v>
      </c>
      <c r="C32" s="2" t="s">
        <v>31</v>
      </c>
      <c r="D32" s="2"/>
      <c r="E32" s="23">
        <v>45.07</v>
      </c>
      <c r="F32" s="10" t="str">
        <f t="shared" si="1"/>
        <v/>
      </c>
      <c r="G32" s="2"/>
    </row>
    <row r="33" spans="1:7" ht="18" customHeight="1" x14ac:dyDescent="0.2">
      <c r="A33" s="2" t="s">
        <v>231</v>
      </c>
      <c r="B33" s="28" t="s">
        <v>230</v>
      </c>
      <c r="C33" s="2"/>
      <c r="D33" s="2"/>
      <c r="E33" s="23">
        <v>125.98</v>
      </c>
      <c r="F33" s="10" t="str">
        <f t="shared" si="1"/>
        <v/>
      </c>
      <c r="G33" s="2"/>
    </row>
    <row r="34" spans="1:7" ht="18" customHeight="1" x14ac:dyDescent="0.2">
      <c r="A34" s="2" t="s">
        <v>40</v>
      </c>
      <c r="B34" s="2"/>
      <c r="C34" s="2" t="s">
        <v>31</v>
      </c>
      <c r="D34" s="2"/>
      <c r="E34" s="23"/>
      <c r="F34" s="10" t="str">
        <f t="shared" si="1"/>
        <v/>
      </c>
      <c r="G34" s="2"/>
    </row>
    <row r="35" spans="1:7" ht="18" customHeight="1" x14ac:dyDescent="0.2">
      <c r="A35" s="9" t="s">
        <v>15</v>
      </c>
      <c r="B35" s="9"/>
      <c r="C35" s="9"/>
      <c r="D35" s="9"/>
      <c r="E35" s="9"/>
      <c r="F35" s="9"/>
      <c r="G35" s="9"/>
    </row>
    <row r="36" spans="1:7" ht="18" customHeight="1" x14ac:dyDescent="0.2">
      <c r="A36" s="2" t="s">
        <v>41</v>
      </c>
      <c r="B36" s="2"/>
      <c r="C36" s="2" t="s">
        <v>31</v>
      </c>
      <c r="D36" s="2"/>
      <c r="E36" s="23"/>
      <c r="F36" s="10" t="str">
        <f>IF(D36="","",IF(E36="","",D36*E36))</f>
        <v/>
      </c>
      <c r="G36" s="2"/>
    </row>
    <row r="37" spans="1:7" ht="18" customHeight="1" x14ac:dyDescent="0.2">
      <c r="A37" s="2" t="s">
        <v>44</v>
      </c>
      <c r="B37" s="2" t="s">
        <v>232</v>
      </c>
      <c r="C37" s="2" t="s">
        <v>233</v>
      </c>
      <c r="D37" s="2"/>
      <c r="E37" s="23">
        <v>54.38</v>
      </c>
      <c r="F37" s="10" t="str">
        <f t="shared" ref="F37:F40" si="2">IF(D37="","",IF(E37="","",D37*E37))</f>
        <v/>
      </c>
      <c r="G37" s="2"/>
    </row>
    <row r="38" spans="1:7" ht="18" customHeight="1" x14ac:dyDescent="0.2">
      <c r="A38" s="2" t="s">
        <v>42</v>
      </c>
      <c r="B38" s="2" t="s">
        <v>234</v>
      </c>
      <c r="C38" s="2" t="s">
        <v>25</v>
      </c>
      <c r="D38" s="2"/>
      <c r="E38" s="23">
        <v>29.03</v>
      </c>
      <c r="F38" s="10" t="str">
        <f t="shared" si="2"/>
        <v/>
      </c>
      <c r="G38" s="2"/>
    </row>
    <row r="39" spans="1:7" ht="18" customHeight="1" x14ac:dyDescent="0.2">
      <c r="A39" s="2" t="s">
        <v>43</v>
      </c>
      <c r="B39" s="29" t="s">
        <v>235</v>
      </c>
      <c r="C39" s="2" t="s">
        <v>25</v>
      </c>
      <c r="D39" s="2"/>
      <c r="E39" s="23">
        <v>186.28</v>
      </c>
      <c r="F39" s="10" t="str">
        <f t="shared" si="2"/>
        <v/>
      </c>
      <c r="G39" s="2"/>
    </row>
    <row r="40" spans="1:7" ht="18" customHeight="1" x14ac:dyDescent="0.2">
      <c r="A40" s="2" t="s">
        <v>44</v>
      </c>
      <c r="B40" s="2"/>
      <c r="C40" s="2" t="s">
        <v>25</v>
      </c>
      <c r="D40" s="2"/>
      <c r="E40" s="23"/>
      <c r="F40" s="10" t="str">
        <f t="shared" si="2"/>
        <v/>
      </c>
      <c r="G40" s="2"/>
    </row>
    <row r="41" spans="1:7" ht="18" customHeight="1" x14ac:dyDescent="0.2">
      <c r="A41" s="9" t="s">
        <v>16</v>
      </c>
      <c r="B41" s="9"/>
      <c r="C41" s="9"/>
      <c r="D41" s="9"/>
      <c r="E41" s="9"/>
      <c r="F41" s="9"/>
      <c r="G41" s="9"/>
    </row>
    <row r="42" spans="1:7" ht="18" customHeight="1" x14ac:dyDescent="0.2">
      <c r="A42" s="2" t="s">
        <v>45</v>
      </c>
      <c r="B42" s="27" t="s">
        <v>236</v>
      </c>
      <c r="C42" s="2" t="s">
        <v>25</v>
      </c>
      <c r="D42" s="2"/>
      <c r="E42" s="23">
        <v>5.89</v>
      </c>
      <c r="F42" s="10" t="str">
        <f>IF(D42="","",IF(E42="","",D42*E42))</f>
        <v/>
      </c>
      <c r="G42" s="2"/>
    </row>
    <row r="43" spans="1:7" ht="18" customHeight="1" x14ac:dyDescent="0.2">
      <c r="A43" s="2" t="s">
        <v>46</v>
      </c>
      <c r="B43" s="27" t="s">
        <v>237</v>
      </c>
      <c r="C43" s="2" t="s">
        <v>25</v>
      </c>
      <c r="D43" s="2"/>
      <c r="E43" s="23">
        <v>4.8099999999999996</v>
      </c>
      <c r="F43" s="10" t="str">
        <f t="shared" ref="F43:F50" si="3">IF(D43="","",IF(E43="","",D43*E43))</f>
        <v/>
      </c>
      <c r="G43" s="2"/>
    </row>
    <row r="44" spans="1:7" ht="18" customHeight="1" x14ac:dyDescent="0.2">
      <c r="A44" s="2" t="s">
        <v>47</v>
      </c>
      <c r="B44" s="27" t="s">
        <v>238</v>
      </c>
      <c r="C44" s="2" t="s">
        <v>25</v>
      </c>
      <c r="D44" s="2"/>
      <c r="E44" s="23">
        <v>17.7</v>
      </c>
      <c r="F44" s="10" t="str">
        <f t="shared" si="3"/>
        <v/>
      </c>
      <c r="G44" s="2"/>
    </row>
    <row r="45" spans="1:7" ht="18" customHeight="1" x14ac:dyDescent="0.2">
      <c r="A45" s="2" t="s">
        <v>240</v>
      </c>
      <c r="B45" s="27" t="s">
        <v>239</v>
      </c>
      <c r="C45" s="2" t="s">
        <v>25</v>
      </c>
      <c r="D45" s="2"/>
      <c r="E45" s="23">
        <v>2.2599999999999998</v>
      </c>
      <c r="F45" s="10" t="str">
        <f t="shared" si="3"/>
        <v/>
      </c>
      <c r="G45" s="2"/>
    </row>
    <row r="46" spans="1:7" ht="18" customHeight="1" x14ac:dyDescent="0.2">
      <c r="A46" s="2" t="s">
        <v>242</v>
      </c>
      <c r="B46" s="27" t="s">
        <v>241</v>
      </c>
      <c r="C46" s="2" t="s">
        <v>25</v>
      </c>
      <c r="D46" s="2"/>
      <c r="E46" s="23">
        <v>3.28</v>
      </c>
      <c r="F46" s="10" t="str">
        <f t="shared" si="3"/>
        <v/>
      </c>
      <c r="G46" s="2"/>
    </row>
    <row r="47" spans="1:7" ht="18" customHeight="1" x14ac:dyDescent="0.2">
      <c r="A47" s="2" t="s">
        <v>244</v>
      </c>
      <c r="B47" s="27" t="s">
        <v>243</v>
      </c>
      <c r="C47" s="2" t="s">
        <v>25</v>
      </c>
      <c r="D47" s="2"/>
      <c r="E47" s="23">
        <v>1.51</v>
      </c>
      <c r="F47" s="10" t="str">
        <f t="shared" si="3"/>
        <v/>
      </c>
      <c r="G47" s="2"/>
    </row>
    <row r="48" spans="1:7" ht="18" customHeight="1" x14ac:dyDescent="0.2">
      <c r="A48" s="2" t="s">
        <v>245</v>
      </c>
      <c r="B48" s="28" t="s">
        <v>246</v>
      </c>
      <c r="C48" s="2"/>
      <c r="D48" s="2"/>
      <c r="E48" s="23">
        <v>2.21</v>
      </c>
      <c r="F48" s="10" t="str">
        <f t="shared" si="3"/>
        <v/>
      </c>
      <c r="G48" s="2"/>
    </row>
    <row r="49" spans="1:7" ht="18" customHeight="1" x14ac:dyDescent="0.2">
      <c r="A49" s="2" t="s">
        <v>247</v>
      </c>
      <c r="B49" s="2"/>
      <c r="C49" s="2"/>
      <c r="D49" s="2"/>
      <c r="E49" s="23"/>
      <c r="F49" s="10"/>
      <c r="G49" s="2"/>
    </row>
    <row r="50" spans="1:7" ht="18" customHeight="1" x14ac:dyDescent="0.2">
      <c r="A50" s="2" t="s">
        <v>48</v>
      </c>
      <c r="B50" s="2"/>
      <c r="C50" s="2" t="s">
        <v>25</v>
      </c>
      <c r="D50" s="2"/>
      <c r="E50" s="23"/>
      <c r="F50" s="10" t="str">
        <f t="shared" si="3"/>
        <v/>
      </c>
      <c r="G50" s="2"/>
    </row>
    <row r="51" spans="1:7" ht="18" customHeight="1" x14ac:dyDescent="0.2">
      <c r="A51" s="9" t="s">
        <v>17</v>
      </c>
      <c r="B51" s="9"/>
      <c r="C51" s="9"/>
      <c r="D51" s="9"/>
      <c r="E51" s="9"/>
      <c r="F51" s="9"/>
      <c r="G51" s="9"/>
    </row>
    <row r="52" spans="1:7" ht="18" customHeight="1" x14ac:dyDescent="0.2">
      <c r="A52" s="2" t="s">
        <v>49</v>
      </c>
      <c r="B52" s="2" t="s">
        <v>248</v>
      </c>
      <c r="C52" s="2" t="s">
        <v>50</v>
      </c>
      <c r="D52" s="2"/>
      <c r="E52" s="23">
        <v>5.9</v>
      </c>
      <c r="F52" s="10" t="str">
        <f>IF(D52="","",IF(E52="","",D52*E52))</f>
        <v/>
      </c>
      <c r="G52" s="2"/>
    </row>
    <row r="53" spans="1:7" ht="18" customHeight="1" x14ac:dyDescent="0.2">
      <c r="A53" s="2" t="s">
        <v>51</v>
      </c>
      <c r="B53" s="2" t="s">
        <v>249</v>
      </c>
      <c r="C53" s="2" t="s">
        <v>50</v>
      </c>
      <c r="D53" s="2"/>
      <c r="E53" s="23">
        <v>15.49</v>
      </c>
      <c r="F53" s="10" t="str">
        <f t="shared" ref="F53:F58" si="4">IF(D53="","",IF(E53="","",D53*E53))</f>
        <v/>
      </c>
      <c r="G53" s="2"/>
    </row>
    <row r="54" spans="1:7" ht="18" customHeight="1" x14ac:dyDescent="0.2">
      <c r="A54" s="2" t="s">
        <v>52</v>
      </c>
      <c r="B54" s="2" t="s">
        <v>250</v>
      </c>
      <c r="C54" s="2" t="s">
        <v>50</v>
      </c>
      <c r="D54" s="2"/>
      <c r="E54" s="23">
        <v>36.72</v>
      </c>
      <c r="F54" s="10" t="str">
        <f t="shared" si="4"/>
        <v/>
      </c>
      <c r="G54" s="2"/>
    </row>
    <row r="55" spans="1:7" ht="18" customHeight="1" x14ac:dyDescent="0.2">
      <c r="A55" s="2" t="s">
        <v>53</v>
      </c>
      <c r="B55" s="2"/>
      <c r="C55" s="2" t="s">
        <v>50</v>
      </c>
      <c r="D55" s="2"/>
      <c r="E55" s="23"/>
      <c r="F55" s="10" t="str">
        <f t="shared" si="4"/>
        <v/>
      </c>
      <c r="G55" s="2"/>
    </row>
    <row r="56" spans="1:7" ht="18" customHeight="1" x14ac:dyDescent="0.2">
      <c r="A56" s="2" t="s">
        <v>54</v>
      </c>
      <c r="B56" s="2" t="s">
        <v>251</v>
      </c>
      <c r="C56" s="2" t="s">
        <v>50</v>
      </c>
      <c r="D56" s="2"/>
      <c r="E56" s="23">
        <v>15.6</v>
      </c>
      <c r="F56" s="10" t="str">
        <f t="shared" si="4"/>
        <v/>
      </c>
      <c r="G56" s="2"/>
    </row>
    <row r="57" spans="1:7" ht="18" customHeight="1" x14ac:dyDescent="0.2">
      <c r="A57" s="2" t="s">
        <v>55</v>
      </c>
      <c r="B57" s="2" t="s">
        <v>252</v>
      </c>
      <c r="C57" s="2" t="s">
        <v>50</v>
      </c>
      <c r="D57" s="2"/>
      <c r="E57" s="23">
        <v>15.2</v>
      </c>
      <c r="F57" s="10" t="str">
        <f t="shared" si="4"/>
        <v/>
      </c>
      <c r="G57" s="2"/>
    </row>
    <row r="58" spans="1:7" ht="18" customHeight="1" x14ac:dyDescent="0.2">
      <c r="A58" s="2" t="s">
        <v>56</v>
      </c>
      <c r="B58" s="2" t="s">
        <v>253</v>
      </c>
      <c r="C58" s="2" t="s">
        <v>50</v>
      </c>
      <c r="D58" s="2"/>
      <c r="E58" s="23">
        <v>15.62</v>
      </c>
      <c r="F58" s="10" t="str">
        <f t="shared" si="4"/>
        <v/>
      </c>
      <c r="G58" s="2"/>
    </row>
    <row r="59" spans="1:7" ht="18" customHeight="1" x14ac:dyDescent="0.2">
      <c r="A59" s="9" t="s">
        <v>18</v>
      </c>
      <c r="B59" s="9"/>
      <c r="C59" s="9"/>
      <c r="D59" s="9"/>
      <c r="E59" s="9"/>
      <c r="F59" s="9"/>
      <c r="G59" s="9"/>
    </row>
    <row r="60" spans="1:7" ht="18" customHeight="1" x14ac:dyDescent="0.2">
      <c r="A60" s="2" t="s">
        <v>57</v>
      </c>
      <c r="B60" s="2" t="s">
        <v>254</v>
      </c>
      <c r="C60" s="2" t="s">
        <v>58</v>
      </c>
      <c r="D60" s="2"/>
      <c r="E60" s="23">
        <v>9.24</v>
      </c>
      <c r="F60" s="10" t="str">
        <f>IF(D60="","",IF(E60="","",D60*E60))</f>
        <v/>
      </c>
      <c r="G60" s="2"/>
    </row>
    <row r="61" spans="1:7" ht="18" customHeight="1" x14ac:dyDescent="0.2">
      <c r="A61" s="2" t="s">
        <v>59</v>
      </c>
      <c r="B61" s="2"/>
      <c r="C61" s="2" t="s">
        <v>58</v>
      </c>
      <c r="D61" s="2"/>
      <c r="E61" s="23"/>
      <c r="F61" s="10" t="str">
        <f t="shared" ref="F61:F67" si="5">IF(D61="","",IF(E61="","",D61*E61))</f>
        <v/>
      </c>
      <c r="G61" s="2"/>
    </row>
    <row r="62" spans="1:7" ht="18" customHeight="1" x14ac:dyDescent="0.2">
      <c r="A62" s="2" t="s">
        <v>60</v>
      </c>
      <c r="B62" s="2" t="s">
        <v>255</v>
      </c>
      <c r="C62" s="2" t="s">
        <v>58</v>
      </c>
      <c r="D62" s="2"/>
      <c r="E62" s="23">
        <v>9.5500000000000007</v>
      </c>
      <c r="F62" s="10" t="str">
        <f t="shared" si="5"/>
        <v/>
      </c>
      <c r="G62" s="2"/>
    </row>
    <row r="63" spans="1:7" ht="18" customHeight="1" x14ac:dyDescent="0.2">
      <c r="A63" s="2" t="s">
        <v>256</v>
      </c>
      <c r="B63" s="2" t="s">
        <v>257</v>
      </c>
      <c r="C63" s="2" t="s">
        <v>58</v>
      </c>
      <c r="D63" s="2"/>
      <c r="E63" s="23">
        <v>9.08</v>
      </c>
      <c r="F63" s="10" t="str">
        <f t="shared" si="5"/>
        <v/>
      </c>
      <c r="G63" s="2"/>
    </row>
    <row r="64" spans="1:7" ht="18" customHeight="1" x14ac:dyDescent="0.2">
      <c r="A64" s="2" t="s">
        <v>61</v>
      </c>
      <c r="B64" s="2"/>
      <c r="C64" s="2" t="s">
        <v>58</v>
      </c>
      <c r="D64" s="2"/>
      <c r="E64" s="23"/>
      <c r="F64" s="10" t="str">
        <f t="shared" si="5"/>
        <v/>
      </c>
      <c r="G64" s="2"/>
    </row>
    <row r="65" spans="1:7" ht="18" customHeight="1" x14ac:dyDescent="0.2">
      <c r="A65" s="2" t="s">
        <v>62</v>
      </c>
      <c r="B65" s="2"/>
      <c r="C65" s="2" t="s">
        <v>58</v>
      </c>
      <c r="D65" s="2"/>
      <c r="E65" s="23"/>
      <c r="F65" s="10" t="str">
        <f t="shared" si="5"/>
        <v/>
      </c>
      <c r="G65" s="2"/>
    </row>
    <row r="66" spans="1:7" ht="18" customHeight="1" x14ac:dyDescent="0.2">
      <c r="A66" s="2" t="s">
        <v>63</v>
      </c>
      <c r="B66" s="2"/>
      <c r="C66" s="2" t="s">
        <v>58</v>
      </c>
      <c r="D66" s="2"/>
      <c r="E66" s="23"/>
      <c r="F66" s="10" t="str">
        <f t="shared" si="5"/>
        <v/>
      </c>
      <c r="G66" s="2"/>
    </row>
    <row r="67" spans="1:7" ht="18" customHeight="1" x14ac:dyDescent="0.2">
      <c r="A67" s="2" t="s">
        <v>64</v>
      </c>
      <c r="B67" s="2"/>
      <c r="C67" s="2" t="s">
        <v>58</v>
      </c>
      <c r="D67" s="2"/>
      <c r="E67" s="23"/>
      <c r="F67" s="10" t="str">
        <f t="shared" si="5"/>
        <v/>
      </c>
      <c r="G67" s="2"/>
    </row>
    <row r="68" spans="1:7" ht="18" customHeight="1" x14ac:dyDescent="0.2">
      <c r="A68" s="9" t="s">
        <v>19</v>
      </c>
      <c r="B68" s="9"/>
      <c r="C68" s="9"/>
      <c r="D68" s="9"/>
      <c r="E68" s="9"/>
      <c r="F68" s="9"/>
      <c r="G68" s="9"/>
    </row>
    <row r="69" spans="1:7" ht="18" customHeight="1" x14ac:dyDescent="0.2">
      <c r="A69" s="2" t="s">
        <v>65</v>
      </c>
      <c r="B69" s="2"/>
      <c r="C69" s="2" t="s">
        <v>66</v>
      </c>
      <c r="D69" s="2"/>
      <c r="E69" s="23"/>
      <c r="F69" s="10" t="str">
        <f>IF(D69="","",IF(E69="","",D69*E69))</f>
        <v/>
      </c>
      <c r="G69" s="2"/>
    </row>
    <row r="70" spans="1:7" ht="18" customHeight="1" x14ac:dyDescent="0.2">
      <c r="A70" s="2" t="s">
        <v>67</v>
      </c>
      <c r="B70" s="2"/>
      <c r="C70" s="2" t="s">
        <v>66</v>
      </c>
      <c r="D70" s="2"/>
      <c r="E70" s="23"/>
      <c r="F70" s="10" t="str">
        <f t="shared" ref="F70:F91" si="6">IF(D70="","",IF(E70="","",D70*E70))</f>
        <v/>
      </c>
      <c r="G70" s="2"/>
    </row>
    <row r="71" spans="1:7" ht="18" customHeight="1" x14ac:dyDescent="0.2">
      <c r="A71" s="2" t="s">
        <v>68</v>
      </c>
      <c r="B71" s="2"/>
      <c r="C71" s="2" t="s">
        <v>69</v>
      </c>
      <c r="D71" s="2"/>
      <c r="E71" s="23"/>
      <c r="F71" s="10" t="str">
        <f t="shared" si="6"/>
        <v/>
      </c>
      <c r="G71" s="2"/>
    </row>
    <row r="72" spans="1:7" ht="18" customHeight="1" x14ac:dyDescent="0.2">
      <c r="A72" s="2" t="s">
        <v>70</v>
      </c>
      <c r="B72" s="2"/>
      <c r="C72" s="2" t="s">
        <v>69</v>
      </c>
      <c r="D72" s="2"/>
      <c r="E72" s="23"/>
      <c r="F72" s="10" t="str">
        <f t="shared" si="6"/>
        <v/>
      </c>
      <c r="G72" s="2"/>
    </row>
    <row r="73" spans="1:7" ht="18" customHeight="1" x14ac:dyDescent="0.2">
      <c r="A73" s="2" t="s">
        <v>71</v>
      </c>
      <c r="B73" s="2"/>
      <c r="C73" s="2" t="s">
        <v>66</v>
      </c>
      <c r="D73" s="2"/>
      <c r="E73" s="23"/>
      <c r="F73" s="10" t="str">
        <f t="shared" si="6"/>
        <v/>
      </c>
      <c r="G73" s="2"/>
    </row>
    <row r="74" spans="1:7" ht="18" customHeight="1" x14ac:dyDescent="0.2">
      <c r="A74" s="2" t="s">
        <v>72</v>
      </c>
      <c r="B74" s="2"/>
      <c r="C74" s="2" t="s">
        <v>69</v>
      </c>
      <c r="D74" s="2"/>
      <c r="E74" s="23"/>
      <c r="F74" s="10" t="str">
        <f t="shared" si="6"/>
        <v/>
      </c>
      <c r="G74" s="2"/>
    </row>
    <row r="75" spans="1:7" ht="18" customHeight="1" x14ac:dyDescent="0.2">
      <c r="A75" s="2" t="s">
        <v>73</v>
      </c>
      <c r="B75" s="2"/>
      <c r="C75" s="2" t="s">
        <v>69</v>
      </c>
      <c r="D75" s="2"/>
      <c r="E75" s="23"/>
      <c r="F75" s="10" t="str">
        <f t="shared" si="6"/>
        <v/>
      </c>
      <c r="G75" s="2"/>
    </row>
    <row r="76" spans="1:7" ht="18" customHeight="1" x14ac:dyDescent="0.2">
      <c r="A76" s="2" t="s">
        <v>74</v>
      </c>
      <c r="B76" s="2"/>
      <c r="C76" s="2" t="s">
        <v>69</v>
      </c>
      <c r="D76" s="2"/>
      <c r="E76" s="23"/>
      <c r="F76" s="10" t="str">
        <f t="shared" si="6"/>
        <v/>
      </c>
      <c r="G76" s="2"/>
    </row>
    <row r="77" spans="1:7" ht="18" customHeight="1" x14ac:dyDescent="0.2">
      <c r="A77" s="2" t="s">
        <v>75</v>
      </c>
      <c r="B77" s="2"/>
      <c r="C77" s="2" t="s">
        <v>69</v>
      </c>
      <c r="D77" s="2"/>
      <c r="E77" s="23"/>
      <c r="F77" s="10" t="str">
        <f t="shared" si="6"/>
        <v/>
      </c>
      <c r="G77" s="2"/>
    </row>
    <row r="78" spans="1:7" ht="18" customHeight="1" x14ac:dyDescent="0.2">
      <c r="A78" s="2" t="s">
        <v>76</v>
      </c>
      <c r="B78" s="2"/>
      <c r="C78" s="2" t="s">
        <v>66</v>
      </c>
      <c r="D78" s="2"/>
      <c r="E78" s="23"/>
      <c r="F78" s="10" t="str">
        <f t="shared" si="6"/>
        <v/>
      </c>
      <c r="G78" s="2"/>
    </row>
    <row r="79" spans="1:7" ht="18" customHeight="1" x14ac:dyDescent="0.2">
      <c r="A79" s="2" t="s">
        <v>77</v>
      </c>
      <c r="B79" s="2"/>
      <c r="C79" s="2" t="s">
        <v>78</v>
      </c>
      <c r="D79" s="2"/>
      <c r="E79" s="23"/>
      <c r="F79" s="10" t="str">
        <f t="shared" si="6"/>
        <v/>
      </c>
      <c r="G79" s="2"/>
    </row>
    <row r="80" spans="1:7" ht="18" customHeight="1" x14ac:dyDescent="0.2">
      <c r="A80" s="2" t="s">
        <v>79</v>
      </c>
      <c r="B80" s="2"/>
      <c r="C80" s="2" t="s">
        <v>69</v>
      </c>
      <c r="D80" s="2"/>
      <c r="E80" s="23"/>
      <c r="F80" s="10" t="str">
        <f t="shared" si="6"/>
        <v/>
      </c>
      <c r="G80" s="2"/>
    </row>
    <row r="81" spans="1:7" ht="18" customHeight="1" x14ac:dyDescent="0.2">
      <c r="A81" s="2" t="s">
        <v>80</v>
      </c>
      <c r="B81" s="2"/>
      <c r="C81" s="2" t="s">
        <v>69</v>
      </c>
      <c r="D81" s="2"/>
      <c r="E81" s="23"/>
      <c r="F81" s="10" t="str">
        <f t="shared" si="6"/>
        <v/>
      </c>
      <c r="G81" s="2"/>
    </row>
    <row r="82" spans="1:7" ht="18" customHeight="1" x14ac:dyDescent="0.2">
      <c r="A82" s="2" t="s">
        <v>81</v>
      </c>
      <c r="B82" s="2"/>
      <c r="C82" s="2" t="s">
        <v>69</v>
      </c>
      <c r="D82" s="2"/>
      <c r="E82" s="23"/>
      <c r="F82" s="10" t="str">
        <f t="shared" si="6"/>
        <v/>
      </c>
      <c r="G82" s="2"/>
    </row>
    <row r="83" spans="1:7" ht="18" customHeight="1" x14ac:dyDescent="0.2">
      <c r="A83" s="2" t="s">
        <v>82</v>
      </c>
      <c r="B83" s="2"/>
      <c r="C83" s="2" t="s">
        <v>69</v>
      </c>
      <c r="D83" s="2"/>
      <c r="E83" s="23"/>
      <c r="F83" s="10" t="str">
        <f t="shared" si="6"/>
        <v/>
      </c>
      <c r="G83" s="2"/>
    </row>
    <row r="84" spans="1:7" ht="18" customHeight="1" x14ac:dyDescent="0.2">
      <c r="A84" s="2" t="s">
        <v>83</v>
      </c>
      <c r="B84" s="2"/>
      <c r="C84" s="2" t="s">
        <v>69</v>
      </c>
      <c r="D84" s="2"/>
      <c r="E84" s="23"/>
      <c r="F84" s="10" t="str">
        <f t="shared" si="6"/>
        <v/>
      </c>
      <c r="G84" s="2"/>
    </row>
    <row r="85" spans="1:7" ht="18" customHeight="1" x14ac:dyDescent="0.2">
      <c r="A85" s="2" t="s">
        <v>84</v>
      </c>
      <c r="B85" s="2"/>
      <c r="C85" s="2" t="s">
        <v>31</v>
      </c>
      <c r="D85" s="2"/>
      <c r="E85" s="23"/>
      <c r="F85" s="10" t="str">
        <f t="shared" si="6"/>
        <v/>
      </c>
      <c r="G85" s="2"/>
    </row>
    <row r="86" spans="1:7" ht="18" customHeight="1" x14ac:dyDescent="0.2">
      <c r="A86" s="2" t="s">
        <v>85</v>
      </c>
      <c r="B86" s="2"/>
      <c r="C86" s="2" t="s">
        <v>31</v>
      </c>
      <c r="D86" s="2"/>
      <c r="E86" s="23"/>
      <c r="F86" s="10" t="str">
        <f t="shared" si="6"/>
        <v/>
      </c>
      <c r="G86" s="2"/>
    </row>
    <row r="87" spans="1:7" ht="18" customHeight="1" x14ac:dyDescent="0.2">
      <c r="A87" s="2" t="s">
        <v>86</v>
      </c>
      <c r="B87" s="2"/>
      <c r="C87" s="2" t="s">
        <v>78</v>
      </c>
      <c r="D87" s="2"/>
      <c r="E87" s="23"/>
      <c r="F87" s="10" t="str">
        <f t="shared" si="6"/>
        <v/>
      </c>
      <c r="G87" s="2"/>
    </row>
    <row r="88" spans="1:7" ht="18" customHeight="1" x14ac:dyDescent="0.2">
      <c r="A88" s="2" t="s">
        <v>87</v>
      </c>
      <c r="B88" s="2"/>
      <c r="C88" s="2" t="s">
        <v>78</v>
      </c>
      <c r="D88" s="2"/>
      <c r="E88" s="23"/>
      <c r="F88" s="10" t="str">
        <f t="shared" si="6"/>
        <v/>
      </c>
      <c r="G88" s="2"/>
    </row>
    <row r="89" spans="1:7" ht="18" customHeight="1" x14ac:dyDescent="0.2">
      <c r="A89" s="2" t="s">
        <v>88</v>
      </c>
      <c r="B89" s="2"/>
      <c r="C89" s="2" t="s">
        <v>78</v>
      </c>
      <c r="D89" s="2"/>
      <c r="E89" s="23"/>
      <c r="F89" s="10" t="str">
        <f t="shared" si="6"/>
        <v/>
      </c>
      <c r="G89" s="2"/>
    </row>
    <row r="90" spans="1:7" ht="18" customHeight="1" x14ac:dyDescent="0.2">
      <c r="A90" s="2" t="s">
        <v>89</v>
      </c>
      <c r="B90" s="2"/>
      <c r="C90" s="2" t="s">
        <v>25</v>
      </c>
      <c r="D90" s="2"/>
      <c r="E90" s="23"/>
      <c r="F90" s="10" t="str">
        <f t="shared" si="6"/>
        <v/>
      </c>
      <c r="G90" s="2"/>
    </row>
    <row r="91" spans="1:7" ht="18" customHeight="1" x14ac:dyDescent="0.2">
      <c r="A91" s="2" t="s">
        <v>90</v>
      </c>
      <c r="B91" s="2"/>
      <c r="C91" s="2" t="s">
        <v>25</v>
      </c>
      <c r="D91" s="2"/>
      <c r="E91" s="23"/>
      <c r="F91" s="10" t="str">
        <f t="shared" si="6"/>
        <v/>
      </c>
      <c r="G91" s="2"/>
    </row>
    <row r="92" spans="1:7" ht="18" customHeight="1" x14ac:dyDescent="0.2">
      <c r="A92" s="9" t="s">
        <v>20</v>
      </c>
      <c r="B92" s="9"/>
      <c r="C92" s="9"/>
      <c r="D92" s="9"/>
      <c r="E92" s="9"/>
      <c r="F92" s="9"/>
      <c r="G92" s="9"/>
    </row>
    <row r="93" spans="1:7" ht="18" customHeight="1" x14ac:dyDescent="0.2">
      <c r="A93" s="30" t="s">
        <v>259</v>
      </c>
      <c r="B93" s="2" t="s">
        <v>258</v>
      </c>
      <c r="C93" s="2" t="s">
        <v>91</v>
      </c>
      <c r="D93" s="2"/>
      <c r="E93" s="23"/>
      <c r="F93" s="10" t="str">
        <f>IF(D93="","",IF(E93="","",D93*E93))</f>
        <v/>
      </c>
      <c r="G93" s="2"/>
    </row>
    <row r="94" spans="1:7" ht="18" customHeight="1" x14ac:dyDescent="0.2">
      <c r="A94" s="2" t="s">
        <v>263</v>
      </c>
      <c r="B94" s="2" t="s">
        <v>260</v>
      </c>
      <c r="C94" s="2" t="s">
        <v>91</v>
      </c>
      <c r="D94" s="2"/>
      <c r="E94" s="23">
        <v>84</v>
      </c>
      <c r="F94" s="10" t="str">
        <f t="shared" ref="F94:F97" si="7">IF(D94="","",IF(E94="","",D94*E94))</f>
        <v/>
      </c>
      <c r="G94" s="2"/>
    </row>
    <row r="95" spans="1:7" ht="18" customHeight="1" x14ac:dyDescent="0.2">
      <c r="A95" s="2" t="s">
        <v>262</v>
      </c>
      <c r="B95" s="2" t="s">
        <v>261</v>
      </c>
      <c r="C95" s="2" t="s">
        <v>91</v>
      </c>
      <c r="D95" s="2"/>
      <c r="E95" s="23">
        <v>76</v>
      </c>
      <c r="F95" s="10" t="str">
        <f t="shared" si="7"/>
        <v/>
      </c>
      <c r="G95" s="2"/>
    </row>
    <row r="96" spans="1:7" ht="18" customHeight="1" x14ac:dyDescent="0.2">
      <c r="A96" s="2" t="s">
        <v>264</v>
      </c>
      <c r="B96" s="2" t="s">
        <v>265</v>
      </c>
      <c r="C96" s="2" t="s">
        <v>91</v>
      </c>
      <c r="D96" s="2"/>
      <c r="E96" s="23">
        <v>128</v>
      </c>
      <c r="F96" s="10" t="str">
        <f t="shared" si="7"/>
        <v/>
      </c>
      <c r="G96" s="2"/>
    </row>
    <row r="97" spans="1:7" ht="18" customHeight="1" x14ac:dyDescent="0.2">
      <c r="A97" s="2" t="s">
        <v>92</v>
      </c>
      <c r="B97" s="2" t="s">
        <v>266</v>
      </c>
      <c r="C97" s="2" t="s">
        <v>78</v>
      </c>
      <c r="D97" s="2"/>
      <c r="E97" s="23">
        <v>129</v>
      </c>
      <c r="F97" s="10" t="str">
        <f t="shared" si="7"/>
        <v/>
      </c>
      <c r="G97" s="2"/>
    </row>
    <row r="98" spans="1:7" ht="18" customHeight="1" x14ac:dyDescent="0.2">
      <c r="A98" s="9" t="s">
        <v>21</v>
      </c>
      <c r="B98" s="9"/>
      <c r="C98" s="9"/>
      <c r="D98" s="9"/>
      <c r="E98" s="9"/>
      <c r="F98" s="9"/>
      <c r="G98" s="9"/>
    </row>
    <row r="99" spans="1:7" ht="18" customHeight="1" x14ac:dyDescent="0.2">
      <c r="A99" s="2" t="s">
        <v>93</v>
      </c>
      <c r="B99" s="2" t="s">
        <v>267</v>
      </c>
      <c r="C99" s="2" t="s">
        <v>94</v>
      </c>
      <c r="D99" s="2"/>
      <c r="E99" s="23">
        <v>33.840000000000003</v>
      </c>
      <c r="F99" s="10" t="str">
        <f>IF(D99="","",IF(E99="","",D99*E99))</f>
        <v/>
      </c>
      <c r="G99" s="2"/>
    </row>
    <row r="100" spans="1:7" ht="18" customHeight="1" x14ac:dyDescent="0.2">
      <c r="A100" s="2" t="s">
        <v>268</v>
      </c>
      <c r="B100" s="2" t="s">
        <v>269</v>
      </c>
      <c r="C100" s="2" t="s">
        <v>94</v>
      </c>
      <c r="D100" s="2"/>
      <c r="E100" s="23">
        <v>129</v>
      </c>
      <c r="F100" s="10" t="str">
        <f t="shared" ref="F100:F106" si="8">IF(D100="","",IF(E100="","",D100*E100))</f>
        <v/>
      </c>
      <c r="G100" s="2"/>
    </row>
    <row r="101" spans="1:7" ht="18" customHeight="1" x14ac:dyDescent="0.2">
      <c r="A101" s="2" t="s">
        <v>95</v>
      </c>
      <c r="B101" s="2" t="s">
        <v>270</v>
      </c>
      <c r="C101" s="2" t="s">
        <v>94</v>
      </c>
      <c r="D101" s="2"/>
      <c r="E101" s="23">
        <v>119</v>
      </c>
      <c r="F101" s="10" t="str">
        <f t="shared" si="8"/>
        <v/>
      </c>
      <c r="G101" s="2"/>
    </row>
    <row r="102" spans="1:7" ht="18" customHeight="1" x14ac:dyDescent="0.2">
      <c r="A102" s="2" t="s">
        <v>274</v>
      </c>
      <c r="B102" s="2" t="s">
        <v>271</v>
      </c>
      <c r="C102" s="2" t="s">
        <v>94</v>
      </c>
      <c r="D102" s="2"/>
      <c r="E102" s="23">
        <v>12.94</v>
      </c>
      <c r="F102" s="10" t="str">
        <f t="shared" si="8"/>
        <v/>
      </c>
      <c r="G102" s="2"/>
    </row>
    <row r="103" spans="1:7" ht="18" customHeight="1" x14ac:dyDescent="0.2">
      <c r="A103" s="2" t="s">
        <v>273</v>
      </c>
      <c r="B103" s="2" t="s">
        <v>272</v>
      </c>
      <c r="C103" s="2" t="s">
        <v>94</v>
      </c>
      <c r="D103" s="2"/>
      <c r="E103" s="23">
        <v>26.58</v>
      </c>
      <c r="F103" s="10" t="str">
        <f t="shared" si="8"/>
        <v/>
      </c>
      <c r="G103" s="2"/>
    </row>
    <row r="104" spans="1:7" ht="18" customHeight="1" x14ac:dyDescent="0.2">
      <c r="A104" s="2" t="s">
        <v>96</v>
      </c>
      <c r="B104" s="2"/>
      <c r="C104" s="2" t="s">
        <v>69</v>
      </c>
      <c r="D104" s="2"/>
      <c r="E104" s="23"/>
      <c r="F104" s="10" t="str">
        <f t="shared" si="8"/>
        <v/>
      </c>
      <c r="G104" s="2"/>
    </row>
    <row r="105" spans="1:7" ht="18" customHeight="1" x14ac:dyDescent="0.2">
      <c r="A105" s="2" t="s">
        <v>97</v>
      </c>
      <c r="B105" s="2" t="s">
        <v>275</v>
      </c>
      <c r="C105" s="2" t="s">
        <v>94</v>
      </c>
      <c r="D105" s="2"/>
      <c r="E105" s="23">
        <v>25.48</v>
      </c>
      <c r="F105" s="10" t="str">
        <f t="shared" si="8"/>
        <v/>
      </c>
      <c r="G105" s="2"/>
    </row>
    <row r="106" spans="1:7" ht="18" customHeight="1" x14ac:dyDescent="0.2">
      <c r="A106" s="2" t="s">
        <v>98</v>
      </c>
      <c r="B106" s="2" t="s">
        <v>276</v>
      </c>
      <c r="C106" s="2" t="s">
        <v>94</v>
      </c>
      <c r="D106" s="2"/>
      <c r="E106" s="23">
        <v>3.08</v>
      </c>
      <c r="F106" s="10" t="str">
        <f t="shared" si="8"/>
        <v/>
      </c>
      <c r="G106" s="2"/>
    </row>
    <row r="107" spans="1:7" ht="18" customHeight="1" x14ac:dyDescent="0.2">
      <c r="A107" s="9" t="s">
        <v>22</v>
      </c>
      <c r="B107" s="9"/>
      <c r="C107" s="9"/>
      <c r="D107" s="9"/>
      <c r="E107" s="9"/>
      <c r="F107" s="9"/>
      <c r="G107" s="9"/>
    </row>
    <row r="108" spans="1:7" ht="18" customHeight="1" x14ac:dyDescent="0.2">
      <c r="A108" s="2" t="s">
        <v>99</v>
      </c>
      <c r="B108" s="2"/>
      <c r="C108" s="2" t="s">
        <v>25</v>
      </c>
      <c r="D108" s="2"/>
      <c r="E108" s="23"/>
      <c r="F108" s="10" t="str">
        <f>IF(D108="","",IF(E108="","",D108*E108))</f>
        <v/>
      </c>
      <c r="G108" s="2"/>
    </row>
    <row r="109" spans="1:7" ht="18" customHeight="1" x14ac:dyDescent="0.2">
      <c r="A109" s="2" t="s">
        <v>100</v>
      </c>
      <c r="B109" s="2" t="s">
        <v>277</v>
      </c>
      <c r="C109" s="2" t="s">
        <v>25</v>
      </c>
      <c r="D109" s="2"/>
      <c r="E109" s="23">
        <v>59.18</v>
      </c>
      <c r="F109" s="10" t="str">
        <f t="shared" ref="F109:F126" si="9">IF(D109="","",IF(E109="","",D109*E109))</f>
        <v/>
      </c>
      <c r="G109" s="2"/>
    </row>
    <row r="110" spans="1:7" ht="18" customHeight="1" x14ac:dyDescent="0.2">
      <c r="A110" s="2" t="s">
        <v>279</v>
      </c>
      <c r="B110" s="2" t="s">
        <v>278</v>
      </c>
      <c r="C110" s="2" t="s">
        <v>25</v>
      </c>
      <c r="D110" s="2"/>
      <c r="E110" s="23">
        <v>40.39</v>
      </c>
      <c r="F110" s="10" t="str">
        <f t="shared" si="9"/>
        <v/>
      </c>
      <c r="G110" s="2"/>
    </row>
    <row r="111" spans="1:7" ht="18" customHeight="1" x14ac:dyDescent="0.2">
      <c r="A111" s="2" t="s">
        <v>101</v>
      </c>
      <c r="B111" s="2" t="s">
        <v>280</v>
      </c>
      <c r="C111" s="2" t="s">
        <v>25</v>
      </c>
      <c r="D111" s="2"/>
      <c r="E111" s="23">
        <v>55.87</v>
      </c>
      <c r="F111" s="10" t="str">
        <f t="shared" si="9"/>
        <v/>
      </c>
      <c r="G111" s="2"/>
    </row>
    <row r="112" spans="1:7" ht="18" customHeight="1" x14ac:dyDescent="0.2">
      <c r="A112" s="2" t="s">
        <v>102</v>
      </c>
      <c r="B112" s="2" t="s">
        <v>281</v>
      </c>
      <c r="C112" s="2" t="s">
        <v>25</v>
      </c>
      <c r="D112" s="2"/>
      <c r="E112" s="23">
        <v>114.91</v>
      </c>
      <c r="F112" s="10" t="str">
        <f t="shared" si="9"/>
        <v/>
      </c>
      <c r="G112" s="2"/>
    </row>
    <row r="113" spans="1:7" ht="18" customHeight="1" x14ac:dyDescent="0.2">
      <c r="A113" s="2" t="s">
        <v>103</v>
      </c>
      <c r="B113" s="2"/>
      <c r="C113" s="2" t="s">
        <v>25</v>
      </c>
      <c r="D113" s="2"/>
      <c r="E113" s="23"/>
      <c r="F113" s="10" t="str">
        <f t="shared" si="9"/>
        <v/>
      </c>
      <c r="G113" s="2"/>
    </row>
    <row r="114" spans="1:7" ht="18" customHeight="1" x14ac:dyDescent="0.2">
      <c r="A114" s="2" t="s">
        <v>104</v>
      </c>
      <c r="B114" s="2" t="s">
        <v>282</v>
      </c>
      <c r="C114" s="2" t="s">
        <v>25</v>
      </c>
      <c r="D114" s="2"/>
      <c r="E114" s="23">
        <v>34.78</v>
      </c>
      <c r="F114" s="10" t="str">
        <f t="shared" si="9"/>
        <v/>
      </c>
      <c r="G114" s="2"/>
    </row>
    <row r="115" spans="1:7" ht="18" customHeight="1" x14ac:dyDescent="0.2">
      <c r="A115" s="2" t="s">
        <v>105</v>
      </c>
      <c r="B115" s="2"/>
      <c r="C115" s="2" t="s">
        <v>25</v>
      </c>
      <c r="D115" s="2"/>
      <c r="E115" s="23"/>
      <c r="F115" s="10" t="str">
        <f t="shared" si="9"/>
        <v/>
      </c>
      <c r="G115" s="2"/>
    </row>
    <row r="116" spans="1:7" ht="18" customHeight="1" x14ac:dyDescent="0.2">
      <c r="A116" s="2" t="s">
        <v>106</v>
      </c>
      <c r="B116" s="2"/>
      <c r="C116" s="2" t="s">
        <v>25</v>
      </c>
      <c r="D116" s="2"/>
      <c r="E116" s="23"/>
      <c r="F116" s="10" t="str">
        <f t="shared" si="9"/>
        <v/>
      </c>
      <c r="G116" s="2"/>
    </row>
    <row r="117" spans="1:7" ht="18" customHeight="1" x14ac:dyDescent="0.2">
      <c r="A117" s="2" t="s">
        <v>107</v>
      </c>
      <c r="B117" s="2"/>
      <c r="C117" s="2" t="s">
        <v>25</v>
      </c>
      <c r="D117" s="2"/>
      <c r="E117" s="23"/>
      <c r="F117" s="10" t="str">
        <f t="shared" si="9"/>
        <v/>
      </c>
      <c r="G117" s="2"/>
    </row>
    <row r="118" spans="1:7" ht="18" customHeight="1" x14ac:dyDescent="0.2">
      <c r="A118" s="2" t="s">
        <v>108</v>
      </c>
      <c r="B118" s="2"/>
      <c r="C118" s="2" t="s">
        <v>25</v>
      </c>
      <c r="D118" s="2"/>
      <c r="E118" s="23"/>
      <c r="F118" s="10" t="str">
        <f t="shared" si="9"/>
        <v/>
      </c>
      <c r="G118" s="2"/>
    </row>
    <row r="119" spans="1:7" ht="18" customHeight="1" x14ac:dyDescent="0.2">
      <c r="A119" s="2" t="s">
        <v>109</v>
      </c>
      <c r="B119" s="2"/>
      <c r="C119" s="2" t="s">
        <v>25</v>
      </c>
      <c r="D119" s="2"/>
      <c r="E119" s="23"/>
      <c r="F119" s="10" t="str">
        <f t="shared" si="9"/>
        <v/>
      </c>
      <c r="G119" s="2"/>
    </row>
    <row r="120" spans="1:7" ht="18" customHeight="1" x14ac:dyDescent="0.2">
      <c r="A120" s="2" t="s">
        <v>110</v>
      </c>
      <c r="B120" s="2"/>
      <c r="C120" s="2" t="s">
        <v>25</v>
      </c>
      <c r="D120" s="2"/>
      <c r="E120" s="23"/>
      <c r="F120" s="10" t="str">
        <f t="shared" si="9"/>
        <v/>
      </c>
      <c r="G120" s="2"/>
    </row>
    <row r="121" spans="1:7" ht="18" customHeight="1" x14ac:dyDescent="0.2">
      <c r="A121" s="2" t="s">
        <v>111</v>
      </c>
      <c r="B121" s="2"/>
      <c r="C121" s="2" t="s">
        <v>25</v>
      </c>
      <c r="D121" s="2"/>
      <c r="E121" s="23"/>
      <c r="F121" s="10" t="str">
        <f t="shared" si="9"/>
        <v/>
      </c>
      <c r="G121" s="2"/>
    </row>
    <row r="122" spans="1:7" ht="18" customHeight="1" x14ac:dyDescent="0.2">
      <c r="A122" s="2" t="s">
        <v>112</v>
      </c>
      <c r="B122" s="2"/>
      <c r="C122" s="2" t="s">
        <v>25</v>
      </c>
      <c r="D122" s="2"/>
      <c r="E122" s="23"/>
      <c r="F122" s="10" t="str">
        <f t="shared" si="9"/>
        <v/>
      </c>
      <c r="G122" s="2"/>
    </row>
    <row r="123" spans="1:7" ht="18" customHeight="1" x14ac:dyDescent="0.2">
      <c r="A123" s="2" t="s">
        <v>113</v>
      </c>
      <c r="B123" s="2"/>
      <c r="C123" s="2" t="s">
        <v>25</v>
      </c>
      <c r="D123" s="2"/>
      <c r="E123" s="23"/>
      <c r="F123" s="10" t="str">
        <f t="shared" si="9"/>
        <v/>
      </c>
      <c r="G123" s="2"/>
    </row>
    <row r="124" spans="1:7" ht="18" customHeight="1" x14ac:dyDescent="0.2">
      <c r="A124" s="2" t="s">
        <v>114</v>
      </c>
      <c r="B124" s="2"/>
      <c r="C124" s="2" t="s">
        <v>25</v>
      </c>
      <c r="D124" s="2"/>
      <c r="E124" s="23"/>
      <c r="F124" s="10" t="str">
        <f t="shared" si="9"/>
        <v/>
      </c>
      <c r="G124" s="2"/>
    </row>
    <row r="125" spans="1:7" ht="18" customHeight="1" x14ac:dyDescent="0.2">
      <c r="A125" s="2" t="s">
        <v>115</v>
      </c>
      <c r="B125" s="2"/>
      <c r="C125" s="2" t="s">
        <v>25</v>
      </c>
      <c r="D125" s="2"/>
      <c r="E125" s="23"/>
      <c r="F125" s="10" t="str">
        <f t="shared" si="9"/>
        <v/>
      </c>
      <c r="G125" s="2"/>
    </row>
    <row r="126" spans="1:7" ht="18" customHeight="1" x14ac:dyDescent="0.2">
      <c r="A126" s="2" t="s">
        <v>116</v>
      </c>
      <c r="B126" s="2"/>
      <c r="C126" s="2" t="s">
        <v>25</v>
      </c>
      <c r="D126" s="2"/>
      <c r="E126" s="23"/>
      <c r="F126" s="10" t="str">
        <f t="shared" si="9"/>
        <v/>
      </c>
      <c r="G126" s="2"/>
    </row>
    <row r="127" spans="1:7" ht="18" customHeight="1" x14ac:dyDescent="0.2">
      <c r="A127" s="9" t="s">
        <v>23</v>
      </c>
      <c r="B127" s="9"/>
      <c r="C127" s="9"/>
      <c r="D127" s="9"/>
      <c r="E127" s="9"/>
      <c r="F127" s="9"/>
      <c r="G127" s="9"/>
    </row>
    <row r="128" spans="1:7" ht="18" customHeight="1" x14ac:dyDescent="0.2">
      <c r="A128" s="2" t="s">
        <v>117</v>
      </c>
      <c r="B128" s="2"/>
      <c r="C128" s="2" t="s">
        <v>69</v>
      </c>
      <c r="D128" s="2"/>
      <c r="E128" s="23"/>
      <c r="F128" s="10" t="str">
        <f>IF(D128="","",IF(E128="","",D128*E128))</f>
        <v/>
      </c>
      <c r="G128" s="2"/>
    </row>
    <row r="129" spans="1:7" ht="18" customHeight="1" x14ac:dyDescent="0.2">
      <c r="A129" s="2" t="s">
        <v>118</v>
      </c>
      <c r="B129" s="2"/>
      <c r="C129" s="2" t="s">
        <v>69</v>
      </c>
      <c r="D129" s="2"/>
      <c r="E129" s="23"/>
      <c r="F129" s="10" t="str">
        <f t="shared" ref="F129:F134" si="10">IF(D129="","",IF(E129="","",D129*E129))</f>
        <v/>
      </c>
      <c r="G129" s="2"/>
    </row>
    <row r="130" spans="1:7" ht="18" customHeight="1" x14ac:dyDescent="0.2">
      <c r="A130" s="2" t="s">
        <v>119</v>
      </c>
      <c r="B130" s="2"/>
      <c r="C130" s="2" t="s">
        <v>69</v>
      </c>
      <c r="D130" s="2"/>
      <c r="E130" s="23"/>
      <c r="F130" s="10" t="str">
        <f t="shared" si="10"/>
        <v/>
      </c>
      <c r="G130" s="2"/>
    </row>
    <row r="131" spans="1:7" ht="18" customHeight="1" x14ac:dyDescent="0.2">
      <c r="A131" s="2" t="s">
        <v>120</v>
      </c>
      <c r="B131" s="2"/>
      <c r="C131" s="2" t="s">
        <v>78</v>
      </c>
      <c r="D131" s="2"/>
      <c r="E131" s="23"/>
      <c r="F131" s="10" t="str">
        <f t="shared" si="10"/>
        <v/>
      </c>
      <c r="G131" s="2"/>
    </row>
    <row r="132" spans="1:7" ht="18" customHeight="1" x14ac:dyDescent="0.2">
      <c r="A132" s="2" t="s">
        <v>121</v>
      </c>
      <c r="B132" s="2"/>
      <c r="C132" s="2" t="s">
        <v>25</v>
      </c>
      <c r="D132" s="2"/>
      <c r="E132" s="23"/>
      <c r="F132" s="10" t="str">
        <f t="shared" si="10"/>
        <v/>
      </c>
      <c r="G132" s="2"/>
    </row>
    <row r="133" spans="1:7" ht="18" customHeight="1" x14ac:dyDescent="0.2">
      <c r="A133" s="2" t="s">
        <v>122</v>
      </c>
      <c r="B133" s="2"/>
      <c r="C133" s="2" t="s">
        <v>78</v>
      </c>
      <c r="D133" s="2"/>
      <c r="E133" s="23"/>
      <c r="F133" s="10" t="str">
        <f t="shared" si="10"/>
        <v/>
      </c>
      <c r="G133" s="2"/>
    </row>
    <row r="134" spans="1:7" ht="18" customHeight="1" x14ac:dyDescent="0.2">
      <c r="A134" s="2" t="s">
        <v>123</v>
      </c>
      <c r="B134" s="2"/>
      <c r="C134" s="2" t="s">
        <v>25</v>
      </c>
      <c r="D134" s="2"/>
      <c r="E134" s="23"/>
      <c r="F134" s="10" t="str">
        <f t="shared" si="10"/>
        <v/>
      </c>
      <c r="G134" s="2"/>
    </row>
    <row r="135" spans="1:7" ht="20" customHeight="1" x14ac:dyDescent="0.2">
      <c r="A135" s="11" t="s">
        <v>124</v>
      </c>
      <c r="B135" s="11"/>
      <c r="C135" s="11"/>
      <c r="D135" s="11"/>
      <c r="E135" s="24"/>
      <c r="F135" s="11">
        <f>SUMIF(C9:C134,"&lt;&gt;",F9:F134)</f>
        <v>0</v>
      </c>
      <c r="G135" s="11"/>
    </row>
    <row r="136" spans="1:7" ht="10" customHeight="1" x14ac:dyDescent="0.2"/>
    <row r="137" spans="1:7" ht="22" customHeight="1" x14ac:dyDescent="0.2">
      <c r="A137" s="12" t="s">
        <v>125</v>
      </c>
      <c r="B137" s="12"/>
      <c r="C137" s="12"/>
      <c r="D137" s="12"/>
      <c r="E137" s="12"/>
      <c r="F137" s="12"/>
      <c r="G137" s="12"/>
    </row>
    <row r="138" spans="1:7" ht="30" customHeight="1" x14ac:dyDescent="0.2">
      <c r="A138" s="13" t="s">
        <v>126</v>
      </c>
      <c r="B138" s="13" t="s">
        <v>127</v>
      </c>
      <c r="C138" s="13" t="s">
        <v>128</v>
      </c>
      <c r="D138" s="13" t="s">
        <v>9</v>
      </c>
      <c r="E138" s="25" t="s">
        <v>129</v>
      </c>
      <c r="F138" s="13" t="s">
        <v>11</v>
      </c>
      <c r="G138" s="13" t="s">
        <v>130</v>
      </c>
    </row>
    <row r="139" spans="1:7" ht="18" customHeight="1" x14ac:dyDescent="0.2">
      <c r="A139" s="2" t="s">
        <v>131</v>
      </c>
      <c r="B139" s="2"/>
      <c r="C139" s="2" t="s">
        <v>132</v>
      </c>
      <c r="D139" s="2"/>
      <c r="E139" s="23"/>
      <c r="F139" s="8" t="str">
        <f>IF(D139="","",IF(E139="","",D139*E139))</f>
        <v/>
      </c>
      <c r="G139" s="2"/>
    </row>
    <row r="140" spans="1:7" ht="18" customHeight="1" x14ac:dyDescent="0.2">
      <c r="A140" s="2" t="s">
        <v>133</v>
      </c>
      <c r="B140" s="2"/>
      <c r="C140" s="2" t="s">
        <v>132</v>
      </c>
      <c r="D140" s="2"/>
      <c r="E140" s="23"/>
      <c r="F140" s="8" t="str">
        <f t="shared" ref="F140:F161" si="11">IF(D140="","",IF(E140="","",D140*E140))</f>
        <v/>
      </c>
      <c r="G140" s="2"/>
    </row>
    <row r="141" spans="1:7" ht="18" customHeight="1" x14ac:dyDescent="0.2">
      <c r="A141" s="2" t="s">
        <v>134</v>
      </c>
      <c r="B141" s="2"/>
      <c r="C141" s="2" t="s">
        <v>135</v>
      </c>
      <c r="D141" s="2"/>
      <c r="E141" s="23"/>
      <c r="F141" s="8" t="str">
        <f t="shared" si="11"/>
        <v/>
      </c>
      <c r="G141" s="2"/>
    </row>
    <row r="142" spans="1:7" ht="18" customHeight="1" x14ac:dyDescent="0.2">
      <c r="A142" s="2" t="s">
        <v>136</v>
      </c>
      <c r="B142" s="2"/>
      <c r="C142" s="2" t="s">
        <v>135</v>
      </c>
      <c r="D142" s="2"/>
      <c r="E142" s="23"/>
      <c r="F142" s="8" t="str">
        <f t="shared" si="11"/>
        <v/>
      </c>
      <c r="G142" s="2"/>
    </row>
    <row r="143" spans="1:7" ht="18" customHeight="1" x14ac:dyDescent="0.2">
      <c r="A143" s="2" t="s">
        <v>137</v>
      </c>
      <c r="B143" s="2"/>
      <c r="C143" s="2" t="s">
        <v>132</v>
      </c>
      <c r="D143" s="2"/>
      <c r="E143" s="23"/>
      <c r="F143" s="8" t="str">
        <f t="shared" si="11"/>
        <v/>
      </c>
      <c r="G143" s="2"/>
    </row>
    <row r="144" spans="1:7" ht="18" customHeight="1" x14ac:dyDescent="0.2">
      <c r="A144" s="2" t="s">
        <v>138</v>
      </c>
      <c r="B144" s="2"/>
      <c r="C144" s="2" t="s">
        <v>132</v>
      </c>
      <c r="D144" s="2"/>
      <c r="E144" s="23"/>
      <c r="F144" s="8" t="str">
        <f t="shared" si="11"/>
        <v/>
      </c>
      <c r="G144" s="2"/>
    </row>
    <row r="145" spans="1:7" ht="18" customHeight="1" x14ac:dyDescent="0.2">
      <c r="A145" s="2" t="s">
        <v>139</v>
      </c>
      <c r="B145" s="2"/>
      <c r="C145" s="2" t="s">
        <v>135</v>
      </c>
      <c r="D145" s="2"/>
      <c r="E145" s="23"/>
      <c r="F145" s="8" t="str">
        <f t="shared" si="11"/>
        <v/>
      </c>
      <c r="G145" s="2"/>
    </row>
    <row r="146" spans="1:7" ht="18" customHeight="1" x14ac:dyDescent="0.2">
      <c r="A146" s="2" t="s">
        <v>140</v>
      </c>
      <c r="B146" s="2"/>
      <c r="C146" s="2" t="s">
        <v>141</v>
      </c>
      <c r="D146" s="2"/>
      <c r="E146" s="23"/>
      <c r="F146" s="8" t="str">
        <f t="shared" si="11"/>
        <v/>
      </c>
      <c r="G146" s="2"/>
    </row>
    <row r="147" spans="1:7" ht="18" customHeight="1" x14ac:dyDescent="0.2">
      <c r="A147" s="2" t="s">
        <v>142</v>
      </c>
      <c r="B147" s="2"/>
      <c r="C147" s="2" t="s">
        <v>141</v>
      </c>
      <c r="D147" s="2"/>
      <c r="E147" s="23"/>
      <c r="F147" s="8" t="str">
        <f t="shared" si="11"/>
        <v/>
      </c>
      <c r="G147" s="2"/>
    </row>
    <row r="148" spans="1:7" ht="18" customHeight="1" x14ac:dyDescent="0.2">
      <c r="A148" s="2" t="s">
        <v>143</v>
      </c>
      <c r="B148" s="2"/>
      <c r="C148" s="2" t="s">
        <v>141</v>
      </c>
      <c r="D148" s="2"/>
      <c r="E148" s="23"/>
      <c r="F148" s="8" t="str">
        <f t="shared" si="11"/>
        <v/>
      </c>
      <c r="G148" s="2"/>
    </row>
    <row r="149" spans="1:7" ht="18" customHeight="1" x14ac:dyDescent="0.2">
      <c r="A149" s="2" t="s">
        <v>144</v>
      </c>
      <c r="B149" s="2"/>
      <c r="C149" s="2" t="s">
        <v>141</v>
      </c>
      <c r="D149" s="2"/>
      <c r="E149" s="23"/>
      <c r="F149" s="8" t="str">
        <f t="shared" si="11"/>
        <v/>
      </c>
      <c r="G149" s="2"/>
    </row>
    <row r="150" spans="1:7" ht="18" customHeight="1" x14ac:dyDescent="0.2">
      <c r="A150" s="2" t="s">
        <v>145</v>
      </c>
      <c r="B150" s="2"/>
      <c r="C150" s="2" t="s">
        <v>135</v>
      </c>
      <c r="D150" s="2"/>
      <c r="E150" s="23"/>
      <c r="F150" s="8" t="str">
        <f t="shared" si="11"/>
        <v/>
      </c>
      <c r="G150" s="2"/>
    </row>
    <row r="151" spans="1:7" ht="18" customHeight="1" x14ac:dyDescent="0.2">
      <c r="A151" s="2" t="s">
        <v>146</v>
      </c>
      <c r="B151" s="2"/>
      <c r="C151" s="2" t="s">
        <v>135</v>
      </c>
      <c r="D151" s="2"/>
      <c r="E151" s="23">
        <v>100</v>
      </c>
      <c r="F151" s="8" t="str">
        <f t="shared" si="11"/>
        <v/>
      </c>
      <c r="G151" s="2"/>
    </row>
    <row r="152" spans="1:7" ht="18" customHeight="1" x14ac:dyDescent="0.2">
      <c r="A152" s="2" t="s">
        <v>147</v>
      </c>
      <c r="B152" s="2"/>
      <c r="C152" s="2" t="s">
        <v>135</v>
      </c>
      <c r="D152" s="2"/>
      <c r="E152" s="23"/>
      <c r="F152" s="8" t="str">
        <f t="shared" si="11"/>
        <v/>
      </c>
      <c r="G152" s="2"/>
    </row>
    <row r="153" spans="1:7" ht="18" customHeight="1" x14ac:dyDescent="0.2">
      <c r="A153" s="2" t="s">
        <v>148</v>
      </c>
      <c r="B153" s="2"/>
      <c r="C153" s="2" t="s">
        <v>135</v>
      </c>
      <c r="D153" s="2"/>
      <c r="E153" s="23"/>
      <c r="F153" s="8" t="str">
        <f t="shared" si="11"/>
        <v/>
      </c>
      <c r="G153" s="2"/>
    </row>
    <row r="154" spans="1:7" ht="18" customHeight="1" x14ac:dyDescent="0.2">
      <c r="A154" s="2" t="s">
        <v>149</v>
      </c>
      <c r="B154" s="2"/>
      <c r="C154" s="2" t="s">
        <v>135</v>
      </c>
      <c r="D154" s="2"/>
      <c r="E154" s="23"/>
      <c r="F154" s="8" t="str">
        <f t="shared" si="11"/>
        <v/>
      </c>
      <c r="G154" s="2"/>
    </row>
    <row r="155" spans="1:7" ht="18" customHeight="1" x14ac:dyDescent="0.2">
      <c r="A155" s="2" t="s">
        <v>150</v>
      </c>
      <c r="B155" s="2"/>
      <c r="C155" s="2" t="s">
        <v>135</v>
      </c>
      <c r="D155" s="2"/>
      <c r="E155" s="23"/>
      <c r="F155" s="8" t="str">
        <f t="shared" si="11"/>
        <v/>
      </c>
      <c r="G155" s="2"/>
    </row>
    <row r="156" spans="1:7" ht="18" customHeight="1" x14ac:dyDescent="0.2">
      <c r="A156" s="2" t="s">
        <v>151</v>
      </c>
      <c r="B156" s="2"/>
      <c r="C156" s="2" t="s">
        <v>135</v>
      </c>
      <c r="D156" s="2"/>
      <c r="E156" s="23"/>
      <c r="F156" s="8" t="str">
        <f t="shared" si="11"/>
        <v/>
      </c>
      <c r="G156" s="2"/>
    </row>
    <row r="157" spans="1:7" ht="18" customHeight="1" x14ac:dyDescent="0.2">
      <c r="A157" s="2" t="s">
        <v>152</v>
      </c>
      <c r="B157" s="2"/>
      <c r="C157" s="2" t="s">
        <v>141</v>
      </c>
      <c r="D157" s="2"/>
      <c r="E157" s="23"/>
      <c r="F157" s="8" t="str">
        <f t="shared" si="11"/>
        <v/>
      </c>
      <c r="G157" s="2"/>
    </row>
    <row r="158" spans="1:7" ht="18" customHeight="1" x14ac:dyDescent="0.2">
      <c r="A158" s="2" t="s">
        <v>153</v>
      </c>
      <c r="B158" s="2"/>
      <c r="C158" s="2" t="s">
        <v>141</v>
      </c>
      <c r="D158" s="2"/>
      <c r="E158" s="23"/>
      <c r="F158" s="8" t="str">
        <f t="shared" si="11"/>
        <v/>
      </c>
      <c r="G158" s="2"/>
    </row>
    <row r="159" spans="1:7" ht="18" customHeight="1" x14ac:dyDescent="0.2">
      <c r="A159" s="2" t="s">
        <v>154</v>
      </c>
      <c r="B159" s="2"/>
      <c r="C159" s="2" t="s">
        <v>141</v>
      </c>
      <c r="D159" s="2"/>
      <c r="E159" s="23"/>
      <c r="F159" s="8" t="str">
        <f t="shared" si="11"/>
        <v/>
      </c>
      <c r="G159" s="2"/>
    </row>
    <row r="160" spans="1:7" ht="18" customHeight="1" x14ac:dyDescent="0.2">
      <c r="A160" s="2" t="s">
        <v>155</v>
      </c>
      <c r="B160" s="2"/>
      <c r="C160" s="2" t="s">
        <v>156</v>
      </c>
      <c r="D160" s="2"/>
      <c r="E160" s="23"/>
      <c r="F160" s="8" t="str">
        <f t="shared" si="11"/>
        <v/>
      </c>
      <c r="G160" s="2"/>
    </row>
    <row r="161" spans="1:7" ht="18" customHeight="1" x14ac:dyDescent="0.2">
      <c r="A161" s="2" t="s">
        <v>157</v>
      </c>
      <c r="B161" s="2"/>
      <c r="C161" s="2" t="s">
        <v>158</v>
      </c>
      <c r="D161" s="2"/>
      <c r="E161" s="23"/>
      <c r="F161" s="8" t="str">
        <f t="shared" si="11"/>
        <v/>
      </c>
      <c r="G161" s="2"/>
    </row>
    <row r="162" spans="1:7" ht="20" customHeight="1" x14ac:dyDescent="0.2">
      <c r="A162" s="14" t="s">
        <v>159</v>
      </c>
      <c r="B162" s="14"/>
      <c r="C162" s="14"/>
      <c r="D162" s="14"/>
      <c r="E162" s="26"/>
      <c r="F162" s="14">
        <f>SUM(F139:F161)</f>
        <v>0</v>
      </c>
      <c r="G162" s="14"/>
    </row>
    <row r="163" spans="1:7" ht="10" customHeight="1" x14ac:dyDescent="0.2"/>
    <row r="164" spans="1:7" ht="22" customHeight="1" x14ac:dyDescent="0.2">
      <c r="A164" s="15" t="s">
        <v>160</v>
      </c>
      <c r="B164" s="15"/>
      <c r="C164" s="15"/>
      <c r="D164" s="15"/>
      <c r="E164" s="15"/>
      <c r="F164" s="15"/>
      <c r="G164" s="15"/>
    </row>
    <row r="165" spans="1:7" ht="22" customHeight="1" x14ac:dyDescent="0.2">
      <c r="A165" s="16" t="s">
        <v>161</v>
      </c>
      <c r="B165" s="16"/>
      <c r="C165" s="16"/>
      <c r="D165" s="16"/>
      <c r="E165" s="16"/>
      <c r="F165" s="17">
        <f>F135</f>
        <v>0</v>
      </c>
      <c r="G165" s="17"/>
    </row>
    <row r="166" spans="1:7" ht="22" customHeight="1" x14ac:dyDescent="0.2">
      <c r="A166" s="16" t="s">
        <v>162</v>
      </c>
      <c r="B166" s="16"/>
      <c r="C166" s="16"/>
      <c r="D166" s="16"/>
      <c r="E166" s="16"/>
      <c r="F166" s="17">
        <f>F162</f>
        <v>0</v>
      </c>
      <c r="G166" s="17"/>
    </row>
    <row r="167" spans="1:7" ht="22" customHeight="1" x14ac:dyDescent="0.2">
      <c r="A167" s="18" t="s">
        <v>163</v>
      </c>
      <c r="B167" s="18"/>
      <c r="C167" s="18"/>
      <c r="D167" s="18"/>
      <c r="E167" s="18"/>
      <c r="F167" s="19">
        <f>F165+F166</f>
        <v>0</v>
      </c>
      <c r="G167" s="19"/>
    </row>
    <row r="168" spans="1:7" ht="22" customHeight="1" x14ac:dyDescent="0.2">
      <c r="A168" s="16" t="s">
        <v>164</v>
      </c>
      <c r="B168" s="16"/>
      <c r="C168" s="16"/>
      <c r="D168" s="16"/>
      <c r="E168" s="16"/>
      <c r="F168" s="17">
        <f>F167*0.2</f>
        <v>0</v>
      </c>
      <c r="G168" s="17"/>
    </row>
    <row r="169" spans="1:7" ht="22" customHeight="1" x14ac:dyDescent="0.2">
      <c r="A169" s="18" t="s">
        <v>165</v>
      </c>
      <c r="B169" s="18"/>
      <c r="C169" s="18"/>
      <c r="D169" s="18"/>
      <c r="E169" s="18"/>
      <c r="F169" s="19">
        <f>F167+F168</f>
        <v>0</v>
      </c>
      <c r="G169" s="19"/>
    </row>
    <row r="170" spans="1:7" ht="22" customHeight="1" x14ac:dyDescent="0.2">
      <c r="A170" s="16" t="s">
        <v>166</v>
      </c>
      <c r="B170" s="16"/>
      <c r="C170" s="16"/>
      <c r="D170" s="16"/>
      <c r="E170" s="16"/>
      <c r="F170" s="17">
        <f>F169*0.1</f>
        <v>0</v>
      </c>
      <c r="G170" s="17"/>
    </row>
    <row r="171" spans="1:7" ht="22" customHeight="1" x14ac:dyDescent="0.2">
      <c r="A171" s="18" t="s">
        <v>167</v>
      </c>
      <c r="B171" s="18"/>
      <c r="C171" s="18"/>
      <c r="D171" s="18"/>
      <c r="E171" s="18"/>
      <c r="F171" s="19">
        <f>F169+F170</f>
        <v>0</v>
      </c>
      <c r="G171" s="19"/>
    </row>
  </sheetData>
  <mergeCells count="22">
    <mergeCell ref="A168:E168"/>
    <mergeCell ref="A169:E169"/>
    <mergeCell ref="A170:E170"/>
    <mergeCell ref="A171:E171"/>
    <mergeCell ref="A127:G127"/>
    <mergeCell ref="A137:G137"/>
    <mergeCell ref="A164:G164"/>
    <mergeCell ref="A165:E165"/>
    <mergeCell ref="A166:E166"/>
    <mergeCell ref="A167:E167"/>
    <mergeCell ref="A51:G51"/>
    <mergeCell ref="A59:G59"/>
    <mergeCell ref="A68:G68"/>
    <mergeCell ref="A92:G92"/>
    <mergeCell ref="A98:G98"/>
    <mergeCell ref="A107:G107"/>
    <mergeCell ref="A1:G1"/>
    <mergeCell ref="A7:G7"/>
    <mergeCell ref="A9:G9"/>
    <mergeCell ref="A20:G20"/>
    <mergeCell ref="A35:G35"/>
    <mergeCell ref="A41:G41"/>
  </mergeCells>
  <hyperlinks>
    <hyperlink ref="B11" r:id="rId1" display="https://www.bunnings.com.au/90-x-45mm-outdoor-framing-h3-treated-pine-3-0m_p8032174?store=8129&amp;gclsrc=aw.ds&amp;gad_source=1&amp;gad_campaignid=21122993677&amp;gbraid=0AAAAADtbEB_xoLiC62--S2oi9SW57qlTR&amp;gclid=CjwKCAjwtIfPBhAzEiwAv9RTJo_memEjwaheipt8MIA_eKw9cIQadSSqvpu20INYMKwjnT0yMrD_ABoCtn0QAvD_BwE" xr:uid="{7D20C2F8-51A0-9B4A-AEC4-ADC22E2F24AE}"/>
    <hyperlink ref="B12" r:id="rId2" display="https://www.bunnings.com.au/90-x-35mm-framing-mgp10-h2-blue-pine-6-0m_p8031011?store=8129&amp;gclsrc=aw.ds&amp;gad_source=1&amp;gad_campaignid=21122993677&amp;gbraid=0AAAAADtbEB_xoLiC62--S2oi9SW57qlTR&amp;gclid=CjwKCAjwtIfPBhAzEiwAv9RTJvK06AKI8ctcDpxMv_OFe6-5k5Te-YTwpu6OWhCAiBtgCRCtlcS3QhoCy8UQAvD_BwE" xr:uid="{FF9B7987-711B-5148-9119-BF2494987BD3}"/>
    <hyperlink ref="B10" r:id="rId3" display="https://www.bunnings.com.au/90-x-45mm-framing-mgp10-h2-blue-pine-2-4m_p8031022?store=8211&amp;gclsrc=aw.ds&amp;gad_source=1&amp;gad_campaignid=21122993677&amp;gbraid=0AAAAADtbEB_xoLiC62--S2oi9SW57qlTR&amp;gclid=CjwKCAjwtIfPBhAzEiwAv9RTJihMLLY-fZeIXaqXU8xO3vZ-GJg_dlZG_RHpjqwn31qVLSD1upkW3hoCmIQQAvD_BwE" xr:uid="{DAF299A4-C47E-5844-B17E-81F5767CB8D5}"/>
    <hyperlink ref="B33" r:id="rId4" xr:uid="{2B75285C-17FB-5841-A7CD-536BEE8BFEC6}"/>
    <hyperlink ref="B46" r:id="rId5" xr:uid="{40C5B4DB-ED7E-234A-8B2D-14EBE0F9F036}"/>
    <hyperlink ref="B47" r:id="rId6" xr:uid="{DEB48013-CCC4-3A4D-A081-B106D62160A3}"/>
    <hyperlink ref="B45" r:id="rId7" xr:uid="{36E9FF1F-5230-AC4E-A3DC-23DB9A191121}"/>
    <hyperlink ref="B44" r:id="rId8" display="https://www.bunnings.com.au/66-x-18mm-5-4m-white-moulding-pine-fj-primed-dar_p0020750?store=8129&amp;gclsrc=aw.ds&amp;gad_source=1&amp;gad_campaignid=21122993677&amp;gbraid=0AAAAADtbEB_xoLiC62--S2oi9SW57qlTR&amp;gclid=CjwKCAjwtIfPBhAzEiwAv9RTJsBjhA-oURDXqk0e__C-JqGsdytxvlh3H0Q7qigP7OVpe3kz3hCwWBoCmKQQAvD_BwE" xr:uid="{CE3EC8E3-8FCF-D742-AD88-AD62E3B770B6}"/>
    <hyperlink ref="B43" r:id="rId9" display="https://www.bunnings.com.au/92-x-18mm-5-4m-moulding-white-pine-fj-primed-pr4_p0020751?store=8129&amp;gclsrc=aw.ds&amp;gad_source=1&amp;gad_campaignid=21122993677&amp;gbraid=0AAAAADtbEB_xoLiC62--S2oi9SW57qlTR&amp;gclid=CjwKCAjwtIfPBhAzEiwAv9RTJhMA61DTCu9npxwUs7S-9oBAz3qSla-HZy0oOSVm9YgguRyk8qkRIhoC5O4QAvD_BwE" xr:uid="{B6B6C2A3-E281-9F4F-8AA1-AA2CB2FAB04E}"/>
    <hyperlink ref="B42" r:id="rId10" xr:uid="{05D5F38D-A0FA-A24E-8328-49CD6C168903}"/>
    <hyperlink ref="B48" r:id="rId11" xr:uid="{90E98A31-F644-7C48-BABD-D707F688776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0DA34-BD46-6442-AC64-65D9F306F641}">
  <dimension ref="A1:G1"/>
  <sheetViews>
    <sheetView workbookViewId="0"/>
  </sheetViews>
  <sheetFormatPr baseColWidth="10" defaultRowHeight="16" x14ac:dyDescent="0.2"/>
  <cols>
    <col min="1" max="1" width="19.1640625" customWidth="1"/>
    <col min="2" max="2" width="48.33203125" customWidth="1"/>
    <col min="3" max="4" width="16.6640625" customWidth="1"/>
    <col min="5" max="6" width="14.33203125" customWidth="1"/>
    <col min="7" max="7" width="16.6640625" customWidth="1"/>
  </cols>
  <sheetData>
    <row r="1" spans="1:7" ht="25" customHeight="1" x14ac:dyDescent="0.2">
      <c r="A1" s="20" t="s">
        <v>168</v>
      </c>
      <c r="B1" s="20" t="s">
        <v>6</v>
      </c>
      <c r="C1" s="20" t="s">
        <v>169</v>
      </c>
      <c r="D1" s="20" t="s">
        <v>170</v>
      </c>
      <c r="E1" s="20" t="s">
        <v>171</v>
      </c>
      <c r="F1" s="20" t="s">
        <v>172</v>
      </c>
      <c r="G1" s="20" t="s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588D-6F74-ED4D-89D5-FF733D69447E}">
  <dimension ref="A1:A32"/>
  <sheetViews>
    <sheetView workbookViewId="0"/>
  </sheetViews>
  <sheetFormatPr baseColWidth="10" defaultRowHeight="16" x14ac:dyDescent="0.2"/>
  <cols>
    <col min="1" max="1" width="100" customWidth="1"/>
  </cols>
  <sheetData>
    <row r="1" spans="1:1" x14ac:dyDescent="0.2">
      <c r="A1" s="3" t="s">
        <v>174</v>
      </c>
    </row>
    <row r="3" spans="1:1" x14ac:dyDescent="0.2">
      <c r="A3" s="3" t="s">
        <v>175</v>
      </c>
    </row>
    <row r="4" spans="1:1" x14ac:dyDescent="0.2">
      <c r="A4" s="2" t="s">
        <v>176</v>
      </c>
    </row>
    <row r="5" spans="1:1" x14ac:dyDescent="0.2">
      <c r="A5" s="2" t="s">
        <v>177</v>
      </c>
    </row>
    <row r="6" spans="1:1" x14ac:dyDescent="0.2">
      <c r="A6" s="2" t="s">
        <v>178</v>
      </c>
    </row>
    <row r="7" spans="1:1" x14ac:dyDescent="0.2">
      <c r="A7" s="2" t="s">
        <v>179</v>
      </c>
    </row>
    <row r="8" spans="1:1" x14ac:dyDescent="0.2">
      <c r="A8" s="2" t="s">
        <v>180</v>
      </c>
    </row>
    <row r="9" spans="1:1" x14ac:dyDescent="0.2">
      <c r="A9" s="2" t="s">
        <v>181</v>
      </c>
    </row>
    <row r="10" spans="1:1" x14ac:dyDescent="0.2">
      <c r="A10" s="2" t="s">
        <v>182</v>
      </c>
    </row>
    <row r="11" spans="1:1" x14ac:dyDescent="0.2">
      <c r="A11" s="2" t="s">
        <v>183</v>
      </c>
    </row>
    <row r="12" spans="1:1" x14ac:dyDescent="0.2">
      <c r="A12" s="2" t="s">
        <v>184</v>
      </c>
    </row>
    <row r="13" spans="1:1" x14ac:dyDescent="0.2">
      <c r="A13" s="2" t="s">
        <v>185</v>
      </c>
    </row>
    <row r="14" spans="1:1" x14ac:dyDescent="0.2">
      <c r="A14" s="2" t="s">
        <v>186</v>
      </c>
    </row>
    <row r="15" spans="1:1" x14ac:dyDescent="0.2">
      <c r="A15" s="2" t="s">
        <v>187</v>
      </c>
    </row>
    <row r="17" spans="1:1" x14ac:dyDescent="0.2">
      <c r="A17" s="3" t="s">
        <v>188</v>
      </c>
    </row>
    <row r="18" spans="1:1" x14ac:dyDescent="0.2">
      <c r="A18" s="2" t="s">
        <v>189</v>
      </c>
    </row>
    <row r="19" spans="1:1" x14ac:dyDescent="0.2">
      <c r="A19" s="2" t="s">
        <v>190</v>
      </c>
    </row>
    <row r="20" spans="1:1" x14ac:dyDescent="0.2">
      <c r="A20" s="2" t="s">
        <v>191</v>
      </c>
    </row>
    <row r="21" spans="1:1" x14ac:dyDescent="0.2">
      <c r="A21" s="2" t="s">
        <v>192</v>
      </c>
    </row>
    <row r="22" spans="1:1" x14ac:dyDescent="0.2">
      <c r="A22" s="2" t="s">
        <v>193</v>
      </c>
    </row>
    <row r="23" spans="1:1" x14ac:dyDescent="0.2">
      <c r="A23" s="2" t="s">
        <v>194</v>
      </c>
    </row>
    <row r="24" spans="1:1" x14ac:dyDescent="0.2">
      <c r="A24" s="2" t="s">
        <v>195</v>
      </c>
    </row>
    <row r="26" spans="1:1" x14ac:dyDescent="0.2">
      <c r="A26" s="2" t="s">
        <v>196</v>
      </c>
    </row>
    <row r="28" spans="1:1" x14ac:dyDescent="0.2">
      <c r="A28" s="3" t="s">
        <v>197</v>
      </c>
    </row>
    <row r="29" spans="1:1" x14ac:dyDescent="0.2">
      <c r="A29" s="2" t="s">
        <v>198</v>
      </c>
    </row>
    <row r="30" spans="1:1" x14ac:dyDescent="0.2">
      <c r="A30" s="2" t="s">
        <v>199</v>
      </c>
    </row>
    <row r="31" spans="1:1" x14ac:dyDescent="0.2">
      <c r="A31" s="2" t="s">
        <v>200</v>
      </c>
    </row>
    <row r="32" spans="1:1" x14ac:dyDescent="0.2">
      <c r="A32" s="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Quote</vt:lpstr>
      <vt:lpstr>Price Change Log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Bates</dc:creator>
  <cp:lastModifiedBy>Wilson Bates</cp:lastModifiedBy>
  <dcterms:created xsi:type="dcterms:W3CDTF">2026-04-18T02:20:18Z</dcterms:created>
  <dcterms:modified xsi:type="dcterms:W3CDTF">2026-04-19T01:11:55Z</dcterms:modified>
</cp:coreProperties>
</file>